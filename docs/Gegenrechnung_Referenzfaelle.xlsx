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Übersicht" state="visible" r:id="rId4"/>
    <sheet sheetId="2" name="Fall 1" state="visible" r:id="rId5"/>
    <sheet sheetId="3" name="Fall 2" state="visible" r:id="rId6"/>
    <sheet sheetId="4" name="Fall 3" state="visible" r:id="rId7"/>
  </sheets>
  <calcPr calcId="171027" fullCalcOnLoad="1"/>
</workbook>
</file>

<file path=xl/sharedStrings.xml><?xml version="1.0" encoding="utf-8"?>
<sst xmlns="http://schemas.openxmlformats.org/spreadsheetml/2006/main" count="215" uniqueCount="87">
  <si>
    <t>Fachliche Gegenrechnung — Ruhestandsplaner Pro</t>
  </si>
  <si>
    <t/>
  </si>
  <si>
    <t>Zweck</t>
  </si>
  <si>
    <t>Unabhängige Prüfung, dass die App die dokumentierten Rechenregeln korrekt umsetzt.</t>
  </si>
  <si>
    <t>Vorgehen</t>
  </si>
  <si>
    <t>Je Fall rechnet ein Tabellenblatt Jahr für Jahr mit offenen Excel-Formeln nach. Grün = Ergebnis der App, Rot = Abweichung.</t>
  </si>
  <si>
    <t>Bitte prüfen</t>
  </si>
  <si>
    <t>1) Stimmen die Formeln mit Ihrem fachlichen Verständnis überein?  2) Ist die Abweichung in jeder Zeile ≈ 0,00 €?</t>
  </si>
  <si>
    <t>Eingaben</t>
  </si>
  <si>
    <t>Gelbe Zellen sind Eingaben und dürfen zum Testen verändert werden (die App-Spalte bleibt dann natürlich stehen).</t>
  </si>
  <si>
    <t>Vereinfachung</t>
  </si>
  <si>
    <t>Alle Fälle ohne Schwankung (Volatilität 0) und ohne Umschichtung, damit jede Zahl eindeutig nachrechenbar ist.</t>
  </si>
  <si>
    <t>Modellannahme</t>
  </si>
  <si>
    <t>Renditeformel</t>
  </si>
  <si>
    <t>Eingegebene Renditen sind Jahreserträge: Jahresrendite = Brutto − Kosten (7,0 % − 1,5 % = 5,50 % p.a.). Zinseszins entsteht über die Jahre. Bei Schwankung ist der Durchschnitt der Jahresrenditen genau dieser Wert; der typische (mittlere) Verlauf liegt wegen der Schwankung darunter. Wertpapier-Töpfe und fondsgebundene LV rechnen nach derselben Logik.</t>
  </si>
  <si>
    <t>Fall</t>
  </si>
  <si>
    <t>Ende Gesamt Excel / App / Abweichung</t>
  </si>
  <si>
    <t>Fall 1: Ausgewogen: Ansparen, Entnehmen, Pension, Steuern</t>
  </si>
  <si>
    <t>Fall 2: Nur Aktien mit Einnahme und Ausgabe (Höchststand-KESt)</t>
  </si>
  <si>
    <t>Fall 3: Nominale Beträge, Sparsteigerung, Pension ab 62</t>
  </si>
  <si>
    <t>Ausgewogen: Ansparen, Entnehmen, Pension, Steuern</t>
  </si>
  <si>
    <t>15/35/50, 300.000 € Start, 1.000 €/Monat Sparrate (wächst mit Inflation), 3.000 €/Monat Wunsch, 1.200 €/Monat Pension ab 65, Inflation 2,5 %, Beträge in heutiger Kaufkraft, KESt 27,5 % / Bankeinlagen 25 %.</t>
  </si>
  <si>
    <t>Startkapital</t>
  </si>
  <si>
    <t>Gewicht Liquidität</t>
  </si>
  <si>
    <t>Gewicht Anleihen</t>
  </si>
  <si>
    <t>Gewicht Aktien</t>
  </si>
  <si>
    <t>Rendite Liquidität brutto</t>
  </si>
  <si>
    <t>Kosten Liquidität</t>
  </si>
  <si>
    <t>Rendite Anleihen brutto</t>
  </si>
  <si>
    <t>Kosten Anleihen</t>
  </si>
  <si>
    <t>Rendite Aktien brutto</t>
  </si>
  <si>
    <t>Kosten Aktien</t>
  </si>
  <si>
    <t>KESt Wertpapiere</t>
  </si>
  <si>
    <t>KESt Bankeinlagen</t>
  </si>
  <si>
    <t>Inflation p.a.</t>
  </si>
  <si>
    <t>Sparrate pro Monat</t>
  </si>
  <si>
    <t>Sparrate wächst mit Inflation (1=ja)</t>
  </si>
  <si>
    <t>Sparsteigerung p.a. (falls nicht Inflation)</t>
  </si>
  <si>
    <t>Wunsch pro Monat</t>
  </si>
  <si>
    <t>Pension pro Monat</t>
  </si>
  <si>
    <t>Beginn Pensionszahlung (Alter)</t>
  </si>
  <si>
    <t>Beträge in heutiger Kaufkraft (1=ja)</t>
  </si>
  <si>
    <t>Pensionsantritt (Alter)</t>
  </si>
  <si>
    <t>Liquiditätsereignisse (Alter → Betrag)</t>
  </si>
  <si>
    <t>Jahr</t>
  </si>
  <si>
    <t>Alter</t>
  </si>
  <si>
    <t>Phase (A=Anspar, E=Entnahme)</t>
  </si>
  <si>
    <t>Start Liquidität</t>
  </si>
  <si>
    <t>Start Anleihen</t>
  </si>
  <si>
    <t>Start Aktien</t>
  </si>
  <si>
    <t>Höchststand Start</t>
  </si>
  <si>
    <t>Rendite Liquidität</t>
  </si>
  <si>
    <t>Rendite Anleihen</t>
  </si>
  <si>
    <t>Rendite Aktien</t>
  </si>
  <si>
    <t>Zins Liquidität (brutto)</t>
  </si>
  <si>
    <t>Liquidität n. Rendite</t>
  </si>
  <si>
    <t>Anleihen n. Rendite</t>
  </si>
  <si>
    <t>Aktien n. Rendite</t>
  </si>
  <si>
    <t>Höchststand n. Zins</t>
  </si>
  <si>
    <t>Inflationsindex</t>
  </si>
  <si>
    <t>Sparrate (Jahr)</t>
  </si>
  <si>
    <t>Entnahme brutto (Jahr)</t>
  </si>
  <si>
    <t>Pension (Jahr)</t>
  </si>
  <si>
    <t>Netto-Entnahme</t>
  </si>
  <si>
    <t>Liquidität n. Cashflow</t>
  </si>
  <si>
    <t>Verkaufsquote Anl./Akt.</t>
  </si>
  <si>
    <t>Anleihen n. Cashflow</t>
  </si>
  <si>
    <t>Aktien n. Cashflow</t>
  </si>
  <si>
    <t>Höchststand n. Cashflow</t>
  </si>
  <si>
    <t>Liquiditätsereignis</t>
  </si>
  <si>
    <t>Liquidität n. Ereignis</t>
  </si>
  <si>
    <t>Anleihen n. Ereignis</t>
  </si>
  <si>
    <t>Aktien n. Ereignis</t>
  </si>
  <si>
    <t>Höchststand n. Ereignis</t>
  </si>
  <si>
    <t>Summe vor KESt</t>
  </si>
  <si>
    <t>KESt Wertpapiere (Höchststand)</t>
  </si>
  <si>
    <t>Ende Liquidität</t>
  </si>
  <si>
    <t>Ende Anleihen</t>
  </si>
  <si>
    <t>Ende Aktien</t>
  </si>
  <si>
    <t>Höchststand Ende</t>
  </si>
  <si>
    <t>Ende Gesamt (Excel)</t>
  </si>
  <si>
    <t>Ende Gesamt (App)</t>
  </si>
  <si>
    <t>Abweichung</t>
  </si>
  <si>
    <t>Nur Aktien mit Einnahme und Ausgabe (Höchststand-KESt)</t>
  </si>
  <si>
    <t>0/0/100, 250.000 € Start, keine Sparrate, 1.200 €/Monat Wunsch, keine Pension, Erbschaft +30.000 € mit 60, Ausgabe −50.000 € mit 70, Inflation 2 %.</t>
  </si>
  <si>
    <t>Nominale Beträge, Sparsteigerung, Pension ab 62</t>
  </si>
  <si>
    <t>30/40/30, 250.000 € Start, 800 €/Monat Sparrate +3 % p.a., 2.500 €/Monat Wunsch NOMINAL (ohne Inflation), 1.000 €/Monat Pension ab 62 (vor Pensionsantritt 65 — wird erst ab 65 verrechnet).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</si>
</sst>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 &quot;€&quot;"/>
    <numFmt numFmtId="165" formatCode="0.0000%"/>
    <numFmt numFmtId="166" formatCode="0.000000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color rgb="FFD31220"/>
    </font>
    <font>
      <b/>
      <sz val="14"/>
    </font>
    <font>
      <i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E8F1E4"/>
      </patternFill>
    </fill>
    <fill>
      <patternFill patternType="solid">
        <fgColor rgb="FFFFF4D6"/>
      </patternFill>
    </fill>
    <fill>
      <patternFill patternType="solid">
        <fgColor rgb="FF2020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164" fontId="0" fillId="0" borderId="0" xfId="0" applyNumberFormat="1"/>
    <xf numFmtId="164" fontId="0" fillId="2" borderId="0" xfId="0" applyNumberFormat="1" applyFill="1"/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164" fontId="0" fillId="3" borderId="0" xfId="0" applyNumberFormat="1" applyFill="1"/>
    <xf numFmtId="10" fontId="0" fillId="3" borderId="0" xfId="0" applyNumberFormat="1" applyFill="1"/>
    <xf numFmtId="1" fontId="0" fillId="3" borderId="0" xfId="0" applyNumberFormat="1" applyFill="1"/>
    <xf numFmtId="0" fontId="0" fillId="3" borderId="0" xfId="0" applyFill="1"/>
    <xf numFmtId="0" fontId="6" fillId="4" borderId="0" xfId="0" applyFont="1" applyFill="1" applyAlignment="1">
      <alignment vertical="top" wrapText="1"/>
    </xf>
    <xf numFmtId="49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58" customWidth="1"/>
    <col min="2" max="2" width="90" customWidth="1"/>
    <col min="3" max="3" width="18" customWidth="1"/>
    <col min="4" max="4" width="16" customWidth="1"/>
  </cols>
  <sheetData>
    <row r="1" spans="1:2" x14ac:dyDescent="0.25">
      <c r="A1" s="1" t="s">
        <v>0</v>
      </c>
      <c r="B1" s="2"/>
    </row>
    <row r="2" spans="1:2" x14ac:dyDescent="0.25">
      <c r="A2" t="s">
        <v>1</v>
      </c>
      <c r="B2" s="2"/>
    </row>
    <row r="3" spans="1:2" x14ac:dyDescent="0.25">
      <c r="A3" t="s">
        <v>2</v>
      </c>
      <c r="B3" s="2" t="s">
        <v>3</v>
      </c>
    </row>
    <row r="4" spans="1:2" x14ac:dyDescent="0.25">
      <c r="A4" t="s">
        <v>4</v>
      </c>
      <c r="B4" s="2" t="s">
        <v>5</v>
      </c>
    </row>
    <row r="5" spans="1:2" x14ac:dyDescent="0.25">
      <c r="A5" t="s">
        <v>6</v>
      </c>
      <c r="B5" s="2" t="s">
        <v>7</v>
      </c>
    </row>
    <row r="6" spans="1:2" x14ac:dyDescent="0.25">
      <c r="A6" t="s">
        <v>8</v>
      </c>
      <c r="B6" s="2" t="s">
        <v>9</v>
      </c>
    </row>
    <row r="7" spans="1:2" x14ac:dyDescent="0.25">
      <c r="A7" t="s">
        <v>10</v>
      </c>
      <c r="B7" s="2" t="s">
        <v>11</v>
      </c>
    </row>
    <row r="8" spans="1:2" x14ac:dyDescent="0.25">
      <c r="A8" t="s">
        <v>1</v>
      </c>
      <c r="B8" s="2"/>
    </row>
    <row r="9" spans="1:2" x14ac:dyDescent="0.25">
      <c r="A9" s="3" t="s">
        <v>12</v>
      </c>
      <c r="B9" s="2" t="s">
        <v>1</v>
      </c>
    </row>
    <row r="10" spans="1:2" x14ac:dyDescent="0.25">
      <c r="A10" t="s">
        <v>13</v>
      </c>
      <c r="B10" s="2" t="s">
        <v>14</v>
      </c>
    </row>
    <row r="11" spans="1:2" x14ac:dyDescent="0.25">
      <c r="A11" t="s">
        <v>1</v>
      </c>
      <c r="B11" s="2"/>
    </row>
    <row r="12" spans="1:2" x14ac:dyDescent="0.25">
      <c r="A12" s="3" t="s">
        <v>15</v>
      </c>
      <c r="B12" s="2" t="s">
        <v>16</v>
      </c>
    </row>
    <row r="13" spans="1:4" x14ac:dyDescent="0.25">
      <c r="A13" t="s">
        <v>17</v>
      </c>
      <c r="B13" s="4">
        <f>'Fall 1'!AL60</f>
      </c>
      <c r="C13" s="5">
        <v>97758.12028474794</v>
      </c>
      <c r="D13" s="6">
        <f>B13-C13</f>
      </c>
    </row>
    <row r="14" spans="1:4" x14ac:dyDescent="0.25">
      <c r="A14" t="s">
        <v>18</v>
      </c>
      <c r="B14" s="4">
        <f>'Fall 2'!AL61</f>
      </c>
      <c r="C14" s="5">
        <v>167645.08566528815</v>
      </c>
      <c r="D14" s="6">
        <f>B14-C14</f>
      </c>
    </row>
    <row r="15" spans="1:4" x14ac:dyDescent="0.25">
      <c r="A15" t="s">
        <v>19</v>
      </c>
      <c r="B15" s="4">
        <f>'Fall 3'!AL60</f>
      </c>
      <c r="C15" s="5">
        <v>310590.049736207</v>
      </c>
      <c r="D15" s="6">
        <f>B15-C15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0"/>
  <sheetViews>
    <sheetView workbookViewId="0">
      <pane xSplit="2" ySplit="30" topLeftCell="C31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2" width="16" customWidth="1"/>
    <col min="3" max="40" width="15" customWidth="1"/>
  </cols>
  <sheetData>
    <row r="1" spans="1:1" x14ac:dyDescent="0.25">
      <c r="A1" s="7" t="s">
        <v>20</v>
      </c>
    </row>
    <row r="2" spans="1:1" x14ac:dyDescent="0.25">
      <c r="A2" s="8" t="s">
        <v>21</v>
      </c>
    </row>
    <row r="4" spans="1:2" x14ac:dyDescent="0.25">
      <c r="A4" t="s">
        <v>22</v>
      </c>
      <c r="B4" s="9">
        <v>300000</v>
      </c>
    </row>
    <row r="5" spans="1:2" x14ac:dyDescent="0.25">
      <c r="A5" t="s">
        <v>23</v>
      </c>
      <c r="B5" s="10">
        <v>0.15</v>
      </c>
    </row>
    <row r="6" spans="1:2" x14ac:dyDescent="0.25">
      <c r="A6" t="s">
        <v>24</v>
      </c>
      <c r="B6" s="10">
        <v>0.35</v>
      </c>
    </row>
    <row r="7" spans="1:2" x14ac:dyDescent="0.25">
      <c r="A7" t="s">
        <v>25</v>
      </c>
      <c r="B7" s="10">
        <v>0.5</v>
      </c>
    </row>
    <row r="8" spans="1:2" x14ac:dyDescent="0.25">
      <c r="A8" t="s">
        <v>26</v>
      </c>
      <c r="B8" s="10">
        <v>0.015</v>
      </c>
    </row>
    <row r="9" spans="1:2" x14ac:dyDescent="0.25">
      <c r="A9" t="s">
        <v>27</v>
      </c>
      <c r="B9" s="10">
        <v>0</v>
      </c>
    </row>
    <row r="10" spans="1:2" x14ac:dyDescent="0.25">
      <c r="A10" t="s">
        <v>28</v>
      </c>
      <c r="B10" s="10">
        <v>0.035</v>
      </c>
    </row>
    <row r="11" spans="1:2" x14ac:dyDescent="0.25">
      <c r="A11" t="s">
        <v>29</v>
      </c>
      <c r="B11" s="10">
        <v>0.006</v>
      </c>
    </row>
    <row r="12" spans="1:2" x14ac:dyDescent="0.25">
      <c r="A12" t="s">
        <v>30</v>
      </c>
      <c r="B12" s="10">
        <v>0.07</v>
      </c>
    </row>
    <row r="13" spans="1:2" x14ac:dyDescent="0.25">
      <c r="A13" t="s">
        <v>31</v>
      </c>
      <c r="B13" s="10">
        <v>0.015</v>
      </c>
    </row>
    <row r="14" spans="1:2" x14ac:dyDescent="0.25">
      <c r="A14" t="s">
        <v>32</v>
      </c>
      <c r="B14" s="10">
        <v>0.275</v>
      </c>
    </row>
    <row r="15" spans="1:2" x14ac:dyDescent="0.25">
      <c r="A15" t="s">
        <v>33</v>
      </c>
      <c r="B15" s="10">
        <v>0.25</v>
      </c>
    </row>
    <row r="16" spans="1:2" x14ac:dyDescent="0.25">
      <c r="A16" t="s">
        <v>34</v>
      </c>
      <c r="B16" s="10">
        <v>0.025</v>
      </c>
    </row>
    <row r="17" spans="1:2" x14ac:dyDescent="0.25">
      <c r="A17" t="s">
        <v>35</v>
      </c>
      <c r="B17" s="9">
        <v>1000</v>
      </c>
    </row>
    <row r="18" spans="1:2" x14ac:dyDescent="0.25">
      <c r="A18" t="s">
        <v>36</v>
      </c>
      <c r="B18" s="11">
        <v>1</v>
      </c>
    </row>
    <row r="19" spans="1:2" x14ac:dyDescent="0.25">
      <c r="A19" t="s">
        <v>37</v>
      </c>
      <c r="B19" s="10">
        <v>0.02</v>
      </c>
    </row>
    <row r="20" spans="1:2" x14ac:dyDescent="0.25">
      <c r="A20" t="s">
        <v>38</v>
      </c>
      <c r="B20" s="9">
        <v>3000</v>
      </c>
    </row>
    <row r="21" spans="1:2" x14ac:dyDescent="0.25">
      <c r="A21" t="s">
        <v>39</v>
      </c>
      <c r="B21" s="9">
        <v>1200</v>
      </c>
    </row>
    <row r="22" spans="1:2" x14ac:dyDescent="0.25">
      <c r="A22" t="s">
        <v>40</v>
      </c>
      <c r="B22" s="11">
        <v>65</v>
      </c>
    </row>
    <row r="23" spans="1:2" x14ac:dyDescent="0.25">
      <c r="A23" t="s">
        <v>41</v>
      </c>
      <c r="B23" s="11">
        <v>1</v>
      </c>
    </row>
    <row r="24" spans="1:2" x14ac:dyDescent="0.25">
      <c r="A24" t="s">
        <v>42</v>
      </c>
      <c r="B24" s="11">
        <v>65</v>
      </c>
    </row>
    <row r="26" spans="1:1" x14ac:dyDescent="0.25">
      <c r="A26" s="3" t="s">
        <v>43</v>
      </c>
    </row>
    <row r="27" spans="1:2" x14ac:dyDescent="0.25">
      <c r="A27" s="12"/>
      <c r="B27" s="9"/>
    </row>
    <row r="30" ht="45" customHeight="1" spans="1:40" x14ac:dyDescent="0.25">
      <c r="A30" s="13" t="s">
        <v>44</v>
      </c>
      <c r="B30" s="13" t="s">
        <v>45</v>
      </c>
      <c r="C30" s="13" t="s">
        <v>46</v>
      </c>
      <c r="D30" s="13" t="s">
        <v>47</v>
      </c>
      <c r="E30" s="13" t="s">
        <v>48</v>
      </c>
      <c r="F30" s="13" t="s">
        <v>49</v>
      </c>
      <c r="G30" s="13" t="s">
        <v>50</v>
      </c>
      <c r="H30" s="13" t="s">
        <v>51</v>
      </c>
      <c r="I30" s="13" t="s">
        <v>52</v>
      </c>
      <c r="J30" s="13" t="s">
        <v>53</v>
      </c>
      <c r="K30" s="13" t="s">
        <v>54</v>
      </c>
      <c r="L30" s="13" t="s">
        <v>33</v>
      </c>
      <c r="M30" s="13" t="s">
        <v>55</v>
      </c>
      <c r="N30" s="13" t="s">
        <v>56</v>
      </c>
      <c r="O30" s="13" t="s">
        <v>57</v>
      </c>
      <c r="P30" s="13" t="s">
        <v>58</v>
      </c>
      <c r="Q30" s="13" t="s">
        <v>59</v>
      </c>
      <c r="R30" s="13" t="s">
        <v>60</v>
      </c>
      <c r="S30" s="13" t="s">
        <v>61</v>
      </c>
      <c r="T30" s="13" t="s">
        <v>62</v>
      </c>
      <c r="U30" s="13" t="s">
        <v>63</v>
      </c>
      <c r="V30" s="13" t="s">
        <v>64</v>
      </c>
      <c r="W30" s="13" t="s">
        <v>65</v>
      </c>
      <c r="X30" s="13" t="s">
        <v>66</v>
      </c>
      <c r="Y30" s="13" t="s">
        <v>67</v>
      </c>
      <c r="Z30" s="13" t="s">
        <v>68</v>
      </c>
      <c r="AA30" s="13" t="s">
        <v>69</v>
      </c>
      <c r="AB30" s="13" t="s">
        <v>70</v>
      </c>
      <c r="AC30" s="13" t="s">
        <v>71</v>
      </c>
      <c r="AD30" s="13" t="s">
        <v>72</v>
      </c>
      <c r="AE30" s="13" t="s">
        <v>73</v>
      </c>
      <c r="AF30" s="13" t="s">
        <v>74</v>
      </c>
      <c r="AG30" s="13" t="s">
        <v>75</v>
      </c>
      <c r="AH30" s="13" t="s">
        <v>76</v>
      </c>
      <c r="AI30" s="13" t="s">
        <v>77</v>
      </c>
      <c r="AJ30" s="13" t="s">
        <v>78</v>
      </c>
      <c r="AK30" s="13" t="s">
        <v>79</v>
      </c>
      <c r="AL30" s="13" t="s">
        <v>80</v>
      </c>
      <c r="AM30" s="13" t="s">
        <v>81</v>
      </c>
      <c r="AN30" s="13" t="s">
        <v>82</v>
      </c>
    </row>
    <row r="31" spans="1:40" x14ac:dyDescent="0.25">
      <c r="A31">
        <v>2026</v>
      </c>
      <c r="B31">
        <v>55</v>
      </c>
      <c r="C31" s="14">
        <f>IF(B31&lt;$B$24,"A","E")</f>
      </c>
      <c r="D31" s="4">
        <f>$B$4*$B$5</f>
      </c>
      <c r="E31" s="4">
        <f>$B$4*$B$6</f>
      </c>
      <c r="F31" s="4">
        <f>$B$4*$B$7</f>
      </c>
      <c r="G31" s="4">
        <f>$B$4</f>
      </c>
      <c r="H31" s="15">
        <f>$B$8-$B$9</f>
      </c>
      <c r="I31" s="15">
        <f>$B$10-$B$11</f>
      </c>
      <c r="J31" s="15">
        <f>$B$12-$B$13</f>
      </c>
      <c r="K31" s="4">
        <f>D31*H31</f>
      </c>
      <c r="L31" s="4">
        <f>MAX(0,K31)*$B$15</f>
      </c>
      <c r="M31" s="4">
        <f>D31+K31-L31</f>
      </c>
      <c r="N31" s="4">
        <f>E31*(1+I31)</f>
      </c>
      <c r="O31" s="4">
        <f>F31*(1+J31)</f>
      </c>
      <c r="P31" s="4">
        <f>MAX(0,G31+K31-L31)</f>
      </c>
      <c r="Q31" s="16">
        <f>1+$B$16</f>
      </c>
      <c r="R31" s="4">
        <f>IF(C31="A",$B$17*12*IF($B$18=1,Q31,(1+$B$19)^0),0)</f>
      </c>
      <c r="S31" s="4">
        <f>IF(C31="A",0,$B$20*12*IF($B$23=1,Q31,1))</f>
      </c>
      <c r="T31" s="4">
        <f>IF(AND(NOT(C31="A"),B31&gt;=$B$22),$B$21*12*IF($B$23=1,Q31,1),0)</f>
      </c>
      <c r="U31" s="4">
        <f>MAX(0,S31-T31)</f>
      </c>
      <c r="V31" s="4">
        <f>IF(C31="A",M31+$B$5*R31,MAX(0,M31-U31))</f>
      </c>
      <c r="W31" s="15">
        <f>IF(OR(C31="A",M31&gt;=U31,N31+O31&lt;=0),0,MIN(1,(U31-M31)/(N31+O31)))</f>
      </c>
      <c r="X31" s="4">
        <f>IF(C31="A",N31+$B$6*R31,N31*(1-W31))</f>
      </c>
      <c r="Y31" s="4">
        <f>IF(C31="A",O31+$B$7*R31,O31*(1-W31))</f>
      </c>
      <c r="Z31" s="4">
        <f>IF(C31="A",P31+R31,MAX(0,P31-U31))</f>
      </c>
      <c r="AA31" s="4">
        <f>SUMIFS($B$27:$B$27,$A$27:$A$27,"&gt;"&amp;(B31-1),$A$27:$A$27,"&lt;="&amp;B31)</f>
      </c>
      <c r="AB31" s="4">
        <f>IF(AA31&gt;0,V31+$B$5*AA31,IF(AND(AA31&lt;0,(V31+X31+Y31)&gt;0),V31*(1-MIN(1,ABS(AA31)/(V31+X31+Y31))),V31))</f>
      </c>
      <c r="AC31" s="4">
        <f>IF(AA31&gt;0,X31+$B$6*AA31,IF(AND(AA31&lt;0,(V31+X31+Y31)&gt;0),X31*(1-MIN(1,ABS(AA31)/(V31+X31+Y31))),X31))</f>
      </c>
      <c r="AD31" s="4">
        <f>IF(AA31&gt;0,Y31+$B$7*AA31,IF(AND(AA31&lt;0,(V31+X31+Y31)&gt;0),Y31*(1-MIN(1,ABS(AA31)/(V31+X31+Y31))),Y31))</f>
      </c>
      <c r="AE31" s="4">
        <f>IF(AA31&gt;0,Z31+AA31,IF(AA31&lt;0,MAX(0,Z31+AA31),Z31))</f>
      </c>
      <c r="AF31" s="4">
        <f>AB31+AC31+AD31</f>
      </c>
      <c r="AG31" s="4">
        <f>IF(AND(AF31&gt;AE31,AF31&gt;0),(AF31-AE31)*$B$14,0)</f>
      </c>
      <c r="AH31" s="4">
        <f>MAX(0,AB31*IF(AF31&gt;0,(AF31-AG31)/AF31,1))</f>
      </c>
      <c r="AI31" s="4">
        <f>MAX(0,AC31*IF(AF31&gt;0,(AF31-AG31)/AF31,1))</f>
      </c>
      <c r="AJ31" s="4">
        <f>MAX(0,AD31*IF(AF31&gt;0,(AF31-AG31)/AF31,1))</f>
      </c>
      <c r="AK31" s="4">
        <f>IF(AG31&gt;0,AF31-AG31,AE31)</f>
      </c>
      <c r="AL31" s="4">
        <f>AH31+AI31+AJ31</f>
      </c>
      <c r="AM31" s="5">
        <v>320995.125</v>
      </c>
      <c r="AN31" s="6">
        <f>AL31-AM31</f>
      </c>
    </row>
    <row r="32" spans="1:40" x14ac:dyDescent="0.25">
      <c r="A32">
        <v>2027</v>
      </c>
      <c r="B32">
        <v>56</v>
      </c>
      <c r="C32" s="14">
        <f>IF(B32&lt;$B$24,"A","E")</f>
      </c>
      <c r="D32" s="4">
        <f>AH31</f>
      </c>
      <c r="E32" s="4">
        <f>AI31</f>
      </c>
      <c r="F32" s="4">
        <f>AJ31</f>
      </c>
      <c r="G32" s="4">
        <f>AK31</f>
      </c>
      <c r="H32" s="15">
        <f>$B$8-$B$9</f>
      </c>
      <c r="I32" s="15">
        <f>$B$10-$B$11</f>
      </c>
      <c r="J32" s="15">
        <f>$B$12-$B$13</f>
      </c>
      <c r="K32" s="4">
        <f>D32*H32</f>
      </c>
      <c r="L32" s="4">
        <f>MAX(0,K32)*$B$15</f>
      </c>
      <c r="M32" s="4">
        <f>D32+K32-L32</f>
      </c>
      <c r="N32" s="4">
        <f>E32*(1+I32)</f>
      </c>
      <c r="O32" s="4">
        <f>F32*(1+J32)</f>
      </c>
      <c r="P32" s="4">
        <f>MAX(0,G32+K32-L32)</f>
      </c>
      <c r="Q32" s="16">
        <f>Q31*(1+$B$16)</f>
      </c>
      <c r="R32" s="4">
        <f>IF(C32="A",$B$17*12*IF($B$18=1,Q32,(1+$B$19)^1),0)</f>
      </c>
      <c r="S32" s="4">
        <f>IF(C32="A",0,$B$20*12*IF($B$23=1,Q32,1))</f>
      </c>
      <c r="T32" s="4">
        <f>IF(AND(NOT(C32="A"),B32&gt;=$B$22),$B$21*12*IF($B$23=1,Q32,1),0)</f>
      </c>
      <c r="U32" s="4">
        <f>MAX(0,S32-T32)</f>
      </c>
      <c r="V32" s="4">
        <f>IF(C32="A",M32+$B$5*R32,MAX(0,M32-U32))</f>
      </c>
      <c r="W32" s="15">
        <f>IF(OR(C32="A",M32&gt;=U32,N32+O32&lt;=0),0,MIN(1,(U32-M32)/(N32+O32)))</f>
      </c>
      <c r="X32" s="4">
        <f>IF(C32="A",N32+$B$6*R32,N32*(1-W32))</f>
      </c>
      <c r="Y32" s="4">
        <f>IF(C32="A",O32+$B$7*R32,O32*(1-W32))</f>
      </c>
      <c r="Z32" s="4">
        <f>IF(C32="A",P32+R32,MAX(0,P32-U32))</f>
      </c>
      <c r="AA32" s="4">
        <f>SUMIFS($B$27:$B$27,$A$27:$A$27,"&gt;"&amp;(B32-1),$A$27:$A$27,"&lt;="&amp;B32)</f>
      </c>
      <c r="AB32" s="4">
        <f>IF(AA32&gt;0,V32+$B$5*AA32,IF(AND(AA32&lt;0,(V32+X32+Y32)&gt;0),V32*(1-MIN(1,ABS(AA32)/(V32+X32+Y32))),V32))</f>
      </c>
      <c r="AC32" s="4">
        <f>IF(AA32&gt;0,X32+$B$6*AA32,IF(AND(AA32&lt;0,(V32+X32+Y32)&gt;0),X32*(1-MIN(1,ABS(AA32)/(V32+X32+Y32))),X32))</f>
      </c>
      <c r="AD32" s="4">
        <f>IF(AA32&gt;0,Y32+$B$7*AA32,IF(AND(AA32&lt;0,(V32+X32+Y32)&gt;0),Y32*(1-MIN(1,ABS(AA32)/(V32+X32+Y32))),Y32))</f>
      </c>
      <c r="AE32" s="4">
        <f>IF(AA32&gt;0,Z32+AA32,IF(AA32&lt;0,MAX(0,Z32+AA32),Z32))</f>
      </c>
      <c r="AF32" s="4">
        <f>AB32+AC32+AD32</f>
      </c>
      <c r="AG32" s="4">
        <f>IF(AND(AF32&gt;AE32,AF32&gt;0),(AF32-AE32)*$B$14,0)</f>
      </c>
      <c r="AH32" s="4">
        <f>MAX(0,AB32*IF(AF32&gt;0,(AF32-AG32)/AF32,1))</f>
      </c>
      <c r="AI32" s="4">
        <f>MAX(0,AC32*IF(AF32&gt;0,(AF32-AG32)/AF32,1))</f>
      </c>
      <c r="AJ32" s="4">
        <f>MAX(0,AD32*IF(AF32&gt;0,(AF32-AG32)/AF32,1))</f>
      </c>
      <c r="AK32" s="4">
        <f>IF(AG32&gt;0,AF32-AG32,AE32)</f>
      </c>
      <c r="AL32" s="4">
        <f>AH32+AI32+AJ32</f>
      </c>
      <c r="AM32" s="5">
        <v>342962.3653282145</v>
      </c>
      <c r="AN32" s="6">
        <f>AL32-AM32</f>
      </c>
    </row>
    <row r="33" spans="1:40" x14ac:dyDescent="0.25">
      <c r="A33">
        <v>2028</v>
      </c>
      <c r="B33">
        <v>57</v>
      </c>
      <c r="C33" s="14">
        <f>IF(B33&lt;$B$24,"A","E")</f>
      </c>
      <c r="D33" s="4">
        <f>AH32</f>
      </c>
      <c r="E33" s="4">
        <f>AI32</f>
      </c>
      <c r="F33" s="4">
        <f>AJ32</f>
      </c>
      <c r="G33" s="4">
        <f>AK32</f>
      </c>
      <c r="H33" s="15">
        <f>$B$8-$B$9</f>
      </c>
      <c r="I33" s="15">
        <f>$B$10-$B$11</f>
      </c>
      <c r="J33" s="15">
        <f>$B$12-$B$13</f>
      </c>
      <c r="K33" s="4">
        <f>D33*H33</f>
      </c>
      <c r="L33" s="4">
        <f>MAX(0,K33)*$B$15</f>
      </c>
      <c r="M33" s="4">
        <f>D33+K33-L33</f>
      </c>
      <c r="N33" s="4">
        <f>E33*(1+I33)</f>
      </c>
      <c r="O33" s="4">
        <f>F33*(1+J33)</f>
      </c>
      <c r="P33" s="4">
        <f>MAX(0,G33+K33-L33)</f>
      </c>
      <c r="Q33" s="16">
        <f>Q32*(1+$B$16)</f>
      </c>
      <c r="R33" s="4">
        <f>IF(C33="A",$B$17*12*IF($B$18=1,Q33,(1+$B$19)^2),0)</f>
      </c>
      <c r="S33" s="4">
        <f>IF(C33="A",0,$B$20*12*IF($B$23=1,Q33,1))</f>
      </c>
      <c r="T33" s="4">
        <f>IF(AND(NOT(C33="A"),B33&gt;=$B$22),$B$21*12*IF($B$23=1,Q33,1),0)</f>
      </c>
      <c r="U33" s="4">
        <f>MAX(0,S33-T33)</f>
      </c>
      <c r="V33" s="4">
        <f>IF(C33="A",M33+$B$5*R33,MAX(0,M33-U33))</f>
      </c>
      <c r="W33" s="15">
        <f>IF(OR(C33="A",M33&gt;=U33,N33+O33&lt;=0),0,MIN(1,(U33-M33)/(N33+O33)))</f>
      </c>
      <c r="X33" s="4">
        <f>IF(C33="A",N33+$B$6*R33,N33*(1-W33))</f>
      </c>
      <c r="Y33" s="4">
        <f>IF(C33="A",O33+$B$7*R33,O33*(1-W33))</f>
      </c>
      <c r="Z33" s="4">
        <f>IF(C33="A",P33+R33,MAX(0,P33-U33))</f>
      </c>
      <c r="AA33" s="4">
        <f>SUMIFS($B$27:$B$27,$A$27:$A$27,"&gt;"&amp;(B33-1),$A$27:$A$27,"&lt;="&amp;B33)</f>
      </c>
      <c r="AB33" s="4">
        <f>IF(AA33&gt;0,V33+$B$5*AA33,IF(AND(AA33&lt;0,(V33+X33+Y33)&gt;0),V33*(1-MIN(1,ABS(AA33)/(V33+X33+Y33))),V33))</f>
      </c>
      <c r="AC33" s="4">
        <f>IF(AA33&gt;0,X33+$B$6*AA33,IF(AND(AA33&lt;0,(V33+X33+Y33)&gt;0),X33*(1-MIN(1,ABS(AA33)/(V33+X33+Y33))),X33))</f>
      </c>
      <c r="AD33" s="4">
        <f>IF(AA33&gt;0,Y33+$B$7*AA33,IF(AND(AA33&lt;0,(V33+X33+Y33)&gt;0),Y33*(1-MIN(1,ABS(AA33)/(V33+X33+Y33))),Y33))</f>
      </c>
      <c r="AE33" s="4">
        <f>IF(AA33&gt;0,Z33+AA33,IF(AA33&lt;0,MAX(0,Z33+AA33),Z33))</f>
      </c>
      <c r="AF33" s="4">
        <f>AB33+AC33+AD33</f>
      </c>
      <c r="AG33" s="4">
        <f>IF(AND(AF33&gt;AE33,AF33&gt;0),(AF33-AE33)*$B$14,0)</f>
      </c>
      <c r="AH33" s="4">
        <f>MAX(0,AB33*IF(AF33&gt;0,(AF33-AG33)/AF33,1))</f>
      </c>
      <c r="AI33" s="4">
        <f>MAX(0,AC33*IF(AF33&gt;0,(AF33-AG33)/AF33,1))</f>
      </c>
      <c r="AJ33" s="4">
        <f>MAX(0,AD33*IF(AF33&gt;0,(AF33-AG33)/AF33,1))</f>
      </c>
      <c r="AK33" s="4">
        <f>IF(AG33&gt;0,AF33-AG33,AE33)</f>
      </c>
      <c r="AL33" s="4">
        <f>AH33+AI33+AJ33</f>
      </c>
      <c r="AM33" s="5">
        <v>365942.83524932107</v>
      </c>
      <c r="AN33" s="6">
        <f>AL33-AM33</f>
      </c>
    </row>
    <row r="34" spans="1:40" x14ac:dyDescent="0.25">
      <c r="A34">
        <v>2029</v>
      </c>
      <c r="B34">
        <v>58</v>
      </c>
      <c r="C34" s="14">
        <f>IF(B34&lt;$B$24,"A","E")</f>
      </c>
      <c r="D34" s="4">
        <f>AH33</f>
      </c>
      <c r="E34" s="4">
        <f>AI33</f>
      </c>
      <c r="F34" s="4">
        <f>AJ33</f>
      </c>
      <c r="G34" s="4">
        <f>AK33</f>
      </c>
      <c r="H34" s="15">
        <f>$B$8-$B$9</f>
      </c>
      <c r="I34" s="15">
        <f>$B$10-$B$11</f>
      </c>
      <c r="J34" s="15">
        <f>$B$12-$B$13</f>
      </c>
      <c r="K34" s="4">
        <f>D34*H34</f>
      </c>
      <c r="L34" s="4">
        <f>MAX(0,K34)*$B$15</f>
      </c>
      <c r="M34" s="4">
        <f>D34+K34-L34</f>
      </c>
      <c r="N34" s="4">
        <f>E34*(1+I34)</f>
      </c>
      <c r="O34" s="4">
        <f>F34*(1+J34)</f>
      </c>
      <c r="P34" s="4">
        <f>MAX(0,G34+K34-L34)</f>
      </c>
      <c r="Q34" s="16">
        <f>Q33*(1+$B$16)</f>
      </c>
      <c r="R34" s="4">
        <f>IF(C34="A",$B$17*12*IF($B$18=1,Q34,(1+$B$19)^3),0)</f>
      </c>
      <c r="S34" s="4">
        <f>IF(C34="A",0,$B$20*12*IF($B$23=1,Q34,1))</f>
      </c>
      <c r="T34" s="4">
        <f>IF(AND(NOT(C34="A"),B34&gt;=$B$22),$B$21*12*IF($B$23=1,Q34,1),0)</f>
      </c>
      <c r="U34" s="4">
        <f>MAX(0,S34-T34)</f>
      </c>
      <c r="V34" s="4">
        <f>IF(C34="A",M34+$B$5*R34,MAX(0,M34-U34))</f>
      </c>
      <c r="W34" s="15">
        <f>IF(OR(C34="A",M34&gt;=U34,N34+O34&lt;=0),0,MIN(1,(U34-M34)/(N34+O34)))</f>
      </c>
      <c r="X34" s="4">
        <f>IF(C34="A",N34+$B$6*R34,N34*(1-W34))</f>
      </c>
      <c r="Y34" s="4">
        <f>IF(C34="A",O34+$B$7*R34,O34*(1-W34))</f>
      </c>
      <c r="Z34" s="4">
        <f>IF(C34="A",P34+R34,MAX(0,P34-U34))</f>
      </c>
      <c r="AA34" s="4">
        <f>SUMIFS($B$27:$B$27,$A$27:$A$27,"&gt;"&amp;(B34-1),$A$27:$A$27,"&lt;="&amp;B34)</f>
      </c>
      <c r="AB34" s="4">
        <f>IF(AA34&gt;0,V34+$B$5*AA34,IF(AND(AA34&lt;0,(V34+X34+Y34)&gt;0),V34*(1-MIN(1,ABS(AA34)/(V34+X34+Y34))),V34))</f>
      </c>
      <c r="AC34" s="4">
        <f>IF(AA34&gt;0,X34+$B$6*AA34,IF(AND(AA34&lt;0,(V34+X34+Y34)&gt;0),X34*(1-MIN(1,ABS(AA34)/(V34+X34+Y34))),X34))</f>
      </c>
      <c r="AD34" s="4">
        <f>IF(AA34&gt;0,Y34+$B$7*AA34,IF(AND(AA34&lt;0,(V34+X34+Y34)&gt;0),Y34*(1-MIN(1,ABS(AA34)/(V34+X34+Y34))),Y34))</f>
      </c>
      <c r="AE34" s="4">
        <f>IF(AA34&gt;0,Z34+AA34,IF(AA34&lt;0,MAX(0,Z34+AA34),Z34))</f>
      </c>
      <c r="AF34" s="4">
        <f>AB34+AC34+AD34</f>
      </c>
      <c r="AG34" s="4">
        <f>IF(AND(AF34&gt;AE34,AF34&gt;0),(AF34-AE34)*$B$14,0)</f>
      </c>
      <c r="AH34" s="4">
        <f>MAX(0,AB34*IF(AF34&gt;0,(AF34-AG34)/AF34,1))</f>
      </c>
      <c r="AI34" s="4">
        <f>MAX(0,AC34*IF(AF34&gt;0,(AF34-AG34)/AF34,1))</f>
      </c>
      <c r="AJ34" s="4">
        <f>MAX(0,AD34*IF(AF34&gt;0,(AF34-AG34)/AF34,1))</f>
      </c>
      <c r="AK34" s="4">
        <f>IF(AG34&gt;0,AF34-AG34,AE34)</f>
      </c>
      <c r="AL34" s="4">
        <f>AH34+AI34+AJ34</f>
      </c>
      <c r="AM34" s="5">
        <v>389979.3354292249</v>
      </c>
      <c r="AN34" s="6">
        <f>AL34-AM34</f>
      </c>
    </row>
    <row r="35" spans="1:40" x14ac:dyDescent="0.25">
      <c r="A35">
        <v>2030</v>
      </c>
      <c r="B35">
        <v>59</v>
      </c>
      <c r="C35" s="14">
        <f>IF(B35&lt;$B$24,"A","E")</f>
      </c>
      <c r="D35" s="4">
        <f>AH34</f>
      </c>
      <c r="E35" s="4">
        <f>AI34</f>
      </c>
      <c r="F35" s="4">
        <f>AJ34</f>
      </c>
      <c r="G35" s="4">
        <f>AK34</f>
      </c>
      <c r="H35" s="15">
        <f>$B$8-$B$9</f>
      </c>
      <c r="I35" s="15">
        <f>$B$10-$B$11</f>
      </c>
      <c r="J35" s="15">
        <f>$B$12-$B$13</f>
      </c>
      <c r="K35" s="4">
        <f>D35*H35</f>
      </c>
      <c r="L35" s="4">
        <f>MAX(0,K35)*$B$15</f>
      </c>
      <c r="M35" s="4">
        <f>D35+K35-L35</f>
      </c>
      <c r="N35" s="4">
        <f>E35*(1+I35)</f>
      </c>
      <c r="O35" s="4">
        <f>F35*(1+J35)</f>
      </c>
      <c r="P35" s="4">
        <f>MAX(0,G35+K35-L35)</f>
      </c>
      <c r="Q35" s="16">
        <f>Q34*(1+$B$16)</f>
      </c>
      <c r="R35" s="4">
        <f>IF(C35="A",$B$17*12*IF($B$18=1,Q35,(1+$B$19)^4),0)</f>
      </c>
      <c r="S35" s="4">
        <f>IF(C35="A",0,$B$20*12*IF($B$23=1,Q35,1))</f>
      </c>
      <c r="T35" s="4">
        <f>IF(AND(NOT(C35="A"),B35&gt;=$B$22),$B$21*12*IF($B$23=1,Q35,1),0)</f>
      </c>
      <c r="U35" s="4">
        <f>MAX(0,S35-T35)</f>
      </c>
      <c r="V35" s="4">
        <f>IF(C35="A",M35+$B$5*R35,MAX(0,M35-U35))</f>
      </c>
      <c r="W35" s="15">
        <f>IF(OR(C35="A",M35&gt;=U35,N35+O35&lt;=0),0,MIN(1,(U35-M35)/(N35+O35)))</f>
      </c>
      <c r="X35" s="4">
        <f>IF(C35="A",N35+$B$6*R35,N35*(1-W35))</f>
      </c>
      <c r="Y35" s="4">
        <f>IF(C35="A",O35+$B$7*R35,O35*(1-W35))</f>
      </c>
      <c r="Z35" s="4">
        <f>IF(C35="A",P35+R35,MAX(0,P35-U35))</f>
      </c>
      <c r="AA35" s="4">
        <f>SUMIFS($B$27:$B$27,$A$27:$A$27,"&gt;"&amp;(B35-1),$A$27:$A$27,"&lt;="&amp;B35)</f>
      </c>
      <c r="AB35" s="4">
        <f>IF(AA35&gt;0,V35+$B$5*AA35,IF(AND(AA35&lt;0,(V35+X35+Y35)&gt;0),V35*(1-MIN(1,ABS(AA35)/(V35+X35+Y35))),V35))</f>
      </c>
      <c r="AC35" s="4">
        <f>IF(AA35&gt;0,X35+$B$6*AA35,IF(AND(AA35&lt;0,(V35+X35+Y35)&gt;0),X35*(1-MIN(1,ABS(AA35)/(V35+X35+Y35))),X35))</f>
      </c>
      <c r="AD35" s="4">
        <f>IF(AA35&gt;0,Y35+$B$7*AA35,IF(AND(AA35&lt;0,(V35+X35+Y35)&gt;0),Y35*(1-MIN(1,ABS(AA35)/(V35+X35+Y35))),Y35))</f>
      </c>
      <c r="AE35" s="4">
        <f>IF(AA35&gt;0,Z35+AA35,IF(AA35&lt;0,MAX(0,Z35+AA35),Z35))</f>
      </c>
      <c r="AF35" s="4">
        <f>AB35+AC35+AD35</f>
      </c>
      <c r="AG35" s="4">
        <f>IF(AND(AF35&gt;AE35,AF35&gt;0),(AF35-AE35)*$B$14,0)</f>
      </c>
      <c r="AH35" s="4">
        <f>MAX(0,AB35*IF(AF35&gt;0,(AF35-AG35)/AF35,1))</f>
      </c>
      <c r="AI35" s="4">
        <f>MAX(0,AC35*IF(AF35&gt;0,(AF35-AG35)/AF35,1))</f>
      </c>
      <c r="AJ35" s="4">
        <f>MAX(0,AD35*IF(AF35&gt;0,(AF35-AG35)/AF35,1))</f>
      </c>
      <c r="AK35" s="4">
        <f>IF(AG35&gt;0,AF35-AG35,AE35)</f>
      </c>
      <c r="AL35" s="4">
        <f>AH35+AI35+AJ35</f>
      </c>
      <c r="AM35" s="5">
        <v>415116.42146316136</v>
      </c>
      <c r="AN35" s="6">
        <f>AL35-AM35</f>
      </c>
    </row>
    <row r="36" spans="1:40" x14ac:dyDescent="0.25">
      <c r="A36">
        <v>2031</v>
      </c>
      <c r="B36">
        <v>60</v>
      </c>
      <c r="C36" s="14">
        <f>IF(B36&lt;$B$24,"A","E")</f>
      </c>
      <c r="D36" s="4">
        <f>AH35</f>
      </c>
      <c r="E36" s="4">
        <f>AI35</f>
      </c>
      <c r="F36" s="4">
        <f>AJ35</f>
      </c>
      <c r="G36" s="4">
        <f>AK35</f>
      </c>
      <c r="H36" s="15">
        <f>$B$8-$B$9</f>
      </c>
      <c r="I36" s="15">
        <f>$B$10-$B$11</f>
      </c>
      <c r="J36" s="15">
        <f>$B$12-$B$13</f>
      </c>
      <c r="K36" s="4">
        <f>D36*H36</f>
      </c>
      <c r="L36" s="4">
        <f>MAX(0,K36)*$B$15</f>
      </c>
      <c r="M36" s="4">
        <f>D36+K36-L36</f>
      </c>
      <c r="N36" s="4">
        <f>E36*(1+I36)</f>
      </c>
      <c r="O36" s="4">
        <f>F36*(1+J36)</f>
      </c>
      <c r="P36" s="4">
        <f>MAX(0,G36+K36-L36)</f>
      </c>
      <c r="Q36" s="16">
        <f>Q35*(1+$B$16)</f>
      </c>
      <c r="R36" s="4">
        <f>IF(C36="A",$B$17*12*IF($B$18=1,Q36,(1+$B$19)^5),0)</f>
      </c>
      <c r="S36" s="4">
        <f>IF(C36="A",0,$B$20*12*IF($B$23=1,Q36,1))</f>
      </c>
      <c r="T36" s="4">
        <f>IF(AND(NOT(C36="A"),B36&gt;=$B$22),$B$21*12*IF($B$23=1,Q36,1),0)</f>
      </c>
      <c r="U36" s="4">
        <f>MAX(0,S36-T36)</f>
      </c>
      <c r="V36" s="4">
        <f>IF(C36="A",M36+$B$5*R36,MAX(0,M36-U36))</f>
      </c>
      <c r="W36" s="15">
        <f>IF(OR(C36="A",M36&gt;=U36,N36+O36&lt;=0),0,MIN(1,(U36-M36)/(N36+O36)))</f>
      </c>
      <c r="X36" s="4">
        <f>IF(C36="A",N36+$B$6*R36,N36*(1-W36))</f>
      </c>
      <c r="Y36" s="4">
        <f>IF(C36="A",O36+$B$7*R36,O36*(1-W36))</f>
      </c>
      <c r="Z36" s="4">
        <f>IF(C36="A",P36+R36,MAX(0,P36-U36))</f>
      </c>
      <c r="AA36" s="4">
        <f>SUMIFS($B$27:$B$27,$A$27:$A$27,"&gt;"&amp;(B36-1),$A$27:$A$27,"&lt;="&amp;B36)</f>
      </c>
      <c r="AB36" s="4">
        <f>IF(AA36&gt;0,V36+$B$5*AA36,IF(AND(AA36&lt;0,(V36+X36+Y36)&gt;0),V36*(1-MIN(1,ABS(AA36)/(V36+X36+Y36))),V36))</f>
      </c>
      <c r="AC36" s="4">
        <f>IF(AA36&gt;0,X36+$B$6*AA36,IF(AND(AA36&lt;0,(V36+X36+Y36)&gt;0),X36*(1-MIN(1,ABS(AA36)/(V36+X36+Y36))),X36))</f>
      </c>
      <c r="AD36" s="4">
        <f>IF(AA36&gt;0,Y36+$B$7*AA36,IF(AND(AA36&lt;0,(V36+X36+Y36)&gt;0),Y36*(1-MIN(1,ABS(AA36)/(V36+X36+Y36))),Y36))</f>
      </c>
      <c r="AE36" s="4">
        <f>IF(AA36&gt;0,Z36+AA36,IF(AA36&lt;0,MAX(0,Z36+AA36),Z36))</f>
      </c>
      <c r="AF36" s="4">
        <f>AB36+AC36+AD36</f>
      </c>
      <c r="AG36" s="4">
        <f>IF(AND(AF36&gt;AE36,AF36&gt;0),(AF36-AE36)*$B$14,0)</f>
      </c>
      <c r="AH36" s="4">
        <f>MAX(0,AB36*IF(AF36&gt;0,(AF36-AG36)/AF36,1))</f>
      </c>
      <c r="AI36" s="4">
        <f>MAX(0,AC36*IF(AF36&gt;0,(AF36-AG36)/AF36,1))</f>
      </c>
      <c r="AJ36" s="4">
        <f>MAX(0,AD36*IF(AF36&gt;0,(AF36-AG36)/AF36,1))</f>
      </c>
      <c r="AK36" s="4">
        <f>IF(AG36&gt;0,AF36-AG36,AE36)</f>
      </c>
      <c r="AL36" s="4">
        <f>AH36+AI36+AJ36</f>
      </c>
      <c r="AM36" s="5">
        <v>441400.475148458</v>
      </c>
      <c r="AN36" s="6">
        <f>AL36-AM36</f>
      </c>
    </row>
    <row r="37" spans="1:40" x14ac:dyDescent="0.25">
      <c r="A37">
        <v>2032</v>
      </c>
      <c r="B37">
        <v>61</v>
      </c>
      <c r="C37" s="14">
        <f>IF(B37&lt;$B$24,"A","E")</f>
      </c>
      <c r="D37" s="4">
        <f>AH36</f>
      </c>
      <c r="E37" s="4">
        <f>AI36</f>
      </c>
      <c r="F37" s="4">
        <f>AJ36</f>
      </c>
      <c r="G37" s="4">
        <f>AK36</f>
      </c>
      <c r="H37" s="15">
        <f>$B$8-$B$9</f>
      </c>
      <c r="I37" s="15">
        <f>$B$10-$B$11</f>
      </c>
      <c r="J37" s="15">
        <f>$B$12-$B$13</f>
      </c>
      <c r="K37" s="4">
        <f>D37*H37</f>
      </c>
      <c r="L37" s="4">
        <f>MAX(0,K37)*$B$15</f>
      </c>
      <c r="M37" s="4">
        <f>D37+K37-L37</f>
      </c>
      <c r="N37" s="4">
        <f>E37*(1+I37)</f>
      </c>
      <c r="O37" s="4">
        <f>F37*(1+J37)</f>
      </c>
      <c r="P37" s="4">
        <f>MAX(0,G37+K37-L37)</f>
      </c>
      <c r="Q37" s="16">
        <f>Q36*(1+$B$16)</f>
      </c>
      <c r="R37" s="4">
        <f>IF(C37="A",$B$17*12*IF($B$18=1,Q37,(1+$B$19)^6),0)</f>
      </c>
      <c r="S37" s="4">
        <f>IF(C37="A",0,$B$20*12*IF($B$23=1,Q37,1))</f>
      </c>
      <c r="T37" s="4">
        <f>IF(AND(NOT(C37="A"),B37&gt;=$B$22),$B$21*12*IF($B$23=1,Q37,1),0)</f>
      </c>
      <c r="U37" s="4">
        <f>MAX(0,S37-T37)</f>
      </c>
      <c r="V37" s="4">
        <f>IF(C37="A",M37+$B$5*R37,MAX(0,M37-U37))</f>
      </c>
      <c r="W37" s="15">
        <f>IF(OR(C37="A",M37&gt;=U37,N37+O37&lt;=0),0,MIN(1,(U37-M37)/(N37+O37)))</f>
      </c>
      <c r="X37" s="4">
        <f>IF(C37="A",N37+$B$6*R37,N37*(1-W37))</f>
      </c>
      <c r="Y37" s="4">
        <f>IF(C37="A",O37+$B$7*R37,O37*(1-W37))</f>
      </c>
      <c r="Z37" s="4">
        <f>IF(C37="A",P37+R37,MAX(0,P37-U37))</f>
      </c>
      <c r="AA37" s="4">
        <f>SUMIFS($B$27:$B$27,$A$27:$A$27,"&gt;"&amp;(B37-1),$A$27:$A$27,"&lt;="&amp;B37)</f>
      </c>
      <c r="AB37" s="4">
        <f>IF(AA37&gt;0,V37+$B$5*AA37,IF(AND(AA37&lt;0,(V37+X37+Y37)&gt;0),V37*(1-MIN(1,ABS(AA37)/(V37+X37+Y37))),V37))</f>
      </c>
      <c r="AC37" s="4">
        <f>IF(AA37&gt;0,X37+$B$6*AA37,IF(AND(AA37&lt;0,(V37+X37+Y37)&gt;0),X37*(1-MIN(1,ABS(AA37)/(V37+X37+Y37))),X37))</f>
      </c>
      <c r="AD37" s="4">
        <f>IF(AA37&gt;0,Y37+$B$7*AA37,IF(AND(AA37&lt;0,(V37+X37+Y37)&gt;0),Y37*(1-MIN(1,ABS(AA37)/(V37+X37+Y37))),Y37))</f>
      </c>
      <c r="AE37" s="4">
        <f>IF(AA37&gt;0,Z37+AA37,IF(AA37&lt;0,MAX(0,Z37+AA37),Z37))</f>
      </c>
      <c r="AF37" s="4">
        <f>AB37+AC37+AD37</f>
      </c>
      <c r="AG37" s="4">
        <f>IF(AND(AF37&gt;AE37,AF37&gt;0),(AF37-AE37)*$B$14,0)</f>
      </c>
      <c r="AH37" s="4">
        <f>MAX(0,AB37*IF(AF37&gt;0,(AF37-AG37)/AF37,1))</f>
      </c>
      <c r="AI37" s="4">
        <f>MAX(0,AC37*IF(AF37&gt;0,(AF37-AG37)/AF37,1))</f>
      </c>
      <c r="AJ37" s="4">
        <f>MAX(0,AD37*IF(AF37&gt;0,(AF37-AG37)/AF37,1))</f>
      </c>
      <c r="AK37" s="4">
        <f>IF(AG37&gt;0,AF37-AG37,AE37)</f>
      </c>
      <c r="AL37" s="4">
        <f>AH37+AI37+AJ37</f>
      </c>
      <c r="AM37" s="5">
        <v>468879.7786149106</v>
      </c>
      <c r="AN37" s="6">
        <f>AL37-AM37</f>
      </c>
    </row>
    <row r="38" spans="1:40" x14ac:dyDescent="0.25">
      <c r="A38">
        <v>2033</v>
      </c>
      <c r="B38">
        <v>62</v>
      </c>
      <c r="C38" s="14">
        <f>IF(B38&lt;$B$24,"A","E")</f>
      </c>
      <c r="D38" s="4">
        <f>AH37</f>
      </c>
      <c r="E38" s="4">
        <f>AI37</f>
      </c>
      <c r="F38" s="4">
        <f>AJ37</f>
      </c>
      <c r="G38" s="4">
        <f>AK37</f>
      </c>
      <c r="H38" s="15">
        <f>$B$8-$B$9</f>
      </c>
      <c r="I38" s="15">
        <f>$B$10-$B$11</f>
      </c>
      <c r="J38" s="15">
        <f>$B$12-$B$13</f>
      </c>
      <c r="K38" s="4">
        <f>D38*H38</f>
      </c>
      <c r="L38" s="4">
        <f>MAX(0,K38)*$B$15</f>
      </c>
      <c r="M38" s="4">
        <f>D38+K38-L38</f>
      </c>
      <c r="N38" s="4">
        <f>E38*(1+I38)</f>
      </c>
      <c r="O38" s="4">
        <f>F38*(1+J38)</f>
      </c>
      <c r="P38" s="4">
        <f>MAX(0,G38+K38-L38)</f>
      </c>
      <c r="Q38" s="16">
        <f>Q37*(1+$B$16)</f>
      </c>
      <c r="R38" s="4">
        <f>IF(C38="A",$B$17*12*IF($B$18=1,Q38,(1+$B$19)^7),0)</f>
      </c>
      <c r="S38" s="4">
        <f>IF(C38="A",0,$B$20*12*IF($B$23=1,Q38,1))</f>
      </c>
      <c r="T38" s="4">
        <f>IF(AND(NOT(C38="A"),B38&gt;=$B$22),$B$21*12*IF($B$23=1,Q38,1),0)</f>
      </c>
      <c r="U38" s="4">
        <f>MAX(0,S38-T38)</f>
      </c>
      <c r="V38" s="4">
        <f>IF(C38="A",M38+$B$5*R38,MAX(0,M38-U38))</f>
      </c>
      <c r="W38" s="15">
        <f>IF(OR(C38="A",M38&gt;=U38,N38+O38&lt;=0),0,MIN(1,(U38-M38)/(N38+O38)))</f>
      </c>
      <c r="X38" s="4">
        <f>IF(C38="A",N38+$B$6*R38,N38*(1-W38))</f>
      </c>
      <c r="Y38" s="4">
        <f>IF(C38="A",O38+$B$7*R38,O38*(1-W38))</f>
      </c>
      <c r="Z38" s="4">
        <f>IF(C38="A",P38+R38,MAX(0,P38-U38))</f>
      </c>
      <c r="AA38" s="4">
        <f>SUMIFS($B$27:$B$27,$A$27:$A$27,"&gt;"&amp;(B38-1),$A$27:$A$27,"&lt;="&amp;B38)</f>
      </c>
      <c r="AB38" s="4">
        <f>IF(AA38&gt;0,V38+$B$5*AA38,IF(AND(AA38&lt;0,(V38+X38+Y38)&gt;0),V38*(1-MIN(1,ABS(AA38)/(V38+X38+Y38))),V38))</f>
      </c>
      <c r="AC38" s="4">
        <f>IF(AA38&gt;0,X38+$B$6*AA38,IF(AND(AA38&lt;0,(V38+X38+Y38)&gt;0),X38*(1-MIN(1,ABS(AA38)/(V38+X38+Y38))),X38))</f>
      </c>
      <c r="AD38" s="4">
        <f>IF(AA38&gt;0,Y38+$B$7*AA38,IF(AND(AA38&lt;0,(V38+X38+Y38)&gt;0),Y38*(1-MIN(1,ABS(AA38)/(V38+X38+Y38))),Y38))</f>
      </c>
      <c r="AE38" s="4">
        <f>IF(AA38&gt;0,Z38+AA38,IF(AA38&lt;0,MAX(0,Z38+AA38),Z38))</f>
      </c>
      <c r="AF38" s="4">
        <f>AB38+AC38+AD38</f>
      </c>
      <c r="AG38" s="4">
        <f>IF(AND(AF38&gt;AE38,AF38&gt;0),(AF38-AE38)*$B$14,0)</f>
      </c>
      <c r="AH38" s="4">
        <f>MAX(0,AB38*IF(AF38&gt;0,(AF38-AG38)/AF38,1))</f>
      </c>
      <c r="AI38" s="4">
        <f>MAX(0,AC38*IF(AF38&gt;0,(AF38-AG38)/AF38,1))</f>
      </c>
      <c r="AJ38" s="4">
        <f>MAX(0,AD38*IF(AF38&gt;0,(AF38-AG38)/AF38,1))</f>
      </c>
      <c r="AK38" s="4">
        <f>IF(AG38&gt;0,AF38-AG38,AE38)</f>
      </c>
      <c r="AL38" s="4">
        <f>AH38+AI38+AJ38</f>
      </c>
      <c r="AM38" s="5">
        <v>497604.5914297255</v>
      </c>
      <c r="AN38" s="6">
        <f>AL38-AM38</f>
      </c>
    </row>
    <row r="39" spans="1:40" x14ac:dyDescent="0.25">
      <c r="A39">
        <v>2034</v>
      </c>
      <c r="B39">
        <v>63</v>
      </c>
      <c r="C39" s="14">
        <f>IF(B39&lt;$B$24,"A","E")</f>
      </c>
      <c r="D39" s="4">
        <f>AH38</f>
      </c>
      <c r="E39" s="4">
        <f>AI38</f>
      </c>
      <c r="F39" s="4">
        <f>AJ38</f>
      </c>
      <c r="G39" s="4">
        <f>AK38</f>
      </c>
      <c r="H39" s="15">
        <f>$B$8-$B$9</f>
      </c>
      <c r="I39" s="15">
        <f>$B$10-$B$11</f>
      </c>
      <c r="J39" s="15">
        <f>$B$12-$B$13</f>
      </c>
      <c r="K39" s="4">
        <f>D39*H39</f>
      </c>
      <c r="L39" s="4">
        <f>MAX(0,K39)*$B$15</f>
      </c>
      <c r="M39" s="4">
        <f>D39+K39-L39</f>
      </c>
      <c r="N39" s="4">
        <f>E39*(1+I39)</f>
      </c>
      <c r="O39" s="4">
        <f>F39*(1+J39)</f>
      </c>
      <c r="P39" s="4">
        <f>MAX(0,G39+K39-L39)</f>
      </c>
      <c r="Q39" s="16">
        <f>Q38*(1+$B$16)</f>
      </c>
      <c r="R39" s="4">
        <f>IF(C39="A",$B$17*12*IF($B$18=1,Q39,(1+$B$19)^8),0)</f>
      </c>
      <c r="S39" s="4">
        <f>IF(C39="A",0,$B$20*12*IF($B$23=1,Q39,1))</f>
      </c>
      <c r="T39" s="4">
        <f>IF(AND(NOT(C39="A"),B39&gt;=$B$22),$B$21*12*IF($B$23=1,Q39,1),0)</f>
      </c>
      <c r="U39" s="4">
        <f>MAX(0,S39-T39)</f>
      </c>
      <c r="V39" s="4">
        <f>IF(C39="A",M39+$B$5*R39,MAX(0,M39-U39))</f>
      </c>
      <c r="W39" s="15">
        <f>IF(OR(C39="A",M39&gt;=U39,N39+O39&lt;=0),0,MIN(1,(U39-M39)/(N39+O39)))</f>
      </c>
      <c r="X39" s="4">
        <f>IF(C39="A",N39+$B$6*R39,N39*(1-W39))</f>
      </c>
      <c r="Y39" s="4">
        <f>IF(C39="A",O39+$B$7*R39,O39*(1-W39))</f>
      </c>
      <c r="Z39" s="4">
        <f>IF(C39="A",P39+R39,MAX(0,P39-U39))</f>
      </c>
      <c r="AA39" s="4">
        <f>SUMIFS($B$27:$B$27,$A$27:$A$27,"&gt;"&amp;(B39-1),$A$27:$A$27,"&lt;="&amp;B39)</f>
      </c>
      <c r="AB39" s="4">
        <f>IF(AA39&gt;0,V39+$B$5*AA39,IF(AND(AA39&lt;0,(V39+X39+Y39)&gt;0),V39*(1-MIN(1,ABS(AA39)/(V39+X39+Y39))),V39))</f>
      </c>
      <c r="AC39" s="4">
        <f>IF(AA39&gt;0,X39+$B$6*AA39,IF(AND(AA39&lt;0,(V39+X39+Y39)&gt;0),X39*(1-MIN(1,ABS(AA39)/(V39+X39+Y39))),X39))</f>
      </c>
      <c r="AD39" s="4">
        <f>IF(AA39&gt;0,Y39+$B$7*AA39,IF(AND(AA39&lt;0,(V39+X39+Y39)&gt;0),Y39*(1-MIN(1,ABS(AA39)/(V39+X39+Y39))),Y39))</f>
      </c>
      <c r="AE39" s="4">
        <f>IF(AA39&gt;0,Z39+AA39,IF(AA39&lt;0,MAX(0,Z39+AA39),Z39))</f>
      </c>
      <c r="AF39" s="4">
        <f>AB39+AC39+AD39</f>
      </c>
      <c r="AG39" s="4">
        <f>IF(AND(AF39&gt;AE39,AF39&gt;0),(AF39-AE39)*$B$14,0)</f>
      </c>
      <c r="AH39" s="4">
        <f>MAX(0,AB39*IF(AF39&gt;0,(AF39-AG39)/AF39,1))</f>
      </c>
      <c r="AI39" s="4">
        <f>MAX(0,AC39*IF(AF39&gt;0,(AF39-AG39)/AF39,1))</f>
      </c>
      <c r="AJ39" s="4">
        <f>MAX(0,AD39*IF(AF39&gt;0,(AF39-AG39)/AF39,1))</f>
      </c>
      <c r="AK39" s="4">
        <f>IF(AG39&gt;0,AF39-AG39,AE39)</f>
      </c>
      <c r="AL39" s="4">
        <f>AH39+AI39+AJ39</f>
      </c>
      <c r="AM39" s="5">
        <v>527627.2307982484</v>
      </c>
      <c r="AN39" s="6">
        <f>AL39-AM39</f>
      </c>
    </row>
    <row r="40" spans="1:40" x14ac:dyDescent="0.25">
      <c r="A40">
        <v>2035</v>
      </c>
      <c r="B40">
        <v>64</v>
      </c>
      <c r="C40" s="14">
        <f>IF(B40&lt;$B$24,"A","E")</f>
      </c>
      <c r="D40" s="4">
        <f>AH39</f>
      </c>
      <c r="E40" s="4">
        <f>AI39</f>
      </c>
      <c r="F40" s="4">
        <f>AJ39</f>
      </c>
      <c r="G40" s="4">
        <f>AK39</f>
      </c>
      <c r="H40" s="15">
        <f>$B$8-$B$9</f>
      </c>
      <c r="I40" s="15">
        <f>$B$10-$B$11</f>
      </c>
      <c r="J40" s="15">
        <f>$B$12-$B$13</f>
      </c>
      <c r="K40" s="4">
        <f>D40*H40</f>
      </c>
      <c r="L40" s="4">
        <f>MAX(0,K40)*$B$15</f>
      </c>
      <c r="M40" s="4">
        <f>D40+K40-L40</f>
      </c>
      <c r="N40" s="4">
        <f>E40*(1+I40)</f>
      </c>
      <c r="O40" s="4">
        <f>F40*(1+J40)</f>
      </c>
      <c r="P40" s="4">
        <f>MAX(0,G40+K40-L40)</f>
      </c>
      <c r="Q40" s="16">
        <f>Q39*(1+$B$16)</f>
      </c>
      <c r="R40" s="4">
        <f>IF(C40="A",$B$17*12*IF($B$18=1,Q40,(1+$B$19)^9),0)</f>
      </c>
      <c r="S40" s="4">
        <f>IF(C40="A",0,$B$20*12*IF($B$23=1,Q40,1))</f>
      </c>
      <c r="T40" s="4">
        <f>IF(AND(NOT(C40="A"),B40&gt;=$B$22),$B$21*12*IF($B$23=1,Q40,1),0)</f>
      </c>
      <c r="U40" s="4">
        <f>MAX(0,S40-T40)</f>
      </c>
      <c r="V40" s="4">
        <f>IF(C40="A",M40+$B$5*R40,MAX(0,M40-U40))</f>
      </c>
      <c r="W40" s="15">
        <f>IF(OR(C40="A",M40&gt;=U40,N40+O40&lt;=0),0,MIN(1,(U40-M40)/(N40+O40)))</f>
      </c>
      <c r="X40" s="4">
        <f>IF(C40="A",N40+$B$6*R40,N40*(1-W40))</f>
      </c>
      <c r="Y40" s="4">
        <f>IF(C40="A",O40+$B$7*R40,O40*(1-W40))</f>
      </c>
      <c r="Z40" s="4">
        <f>IF(C40="A",P40+R40,MAX(0,P40-U40))</f>
      </c>
      <c r="AA40" s="4">
        <f>SUMIFS($B$27:$B$27,$A$27:$A$27,"&gt;"&amp;(B40-1),$A$27:$A$27,"&lt;="&amp;B40)</f>
      </c>
      <c r="AB40" s="4">
        <f>IF(AA40&gt;0,V40+$B$5*AA40,IF(AND(AA40&lt;0,(V40+X40+Y40)&gt;0),V40*(1-MIN(1,ABS(AA40)/(V40+X40+Y40))),V40))</f>
      </c>
      <c r="AC40" s="4">
        <f>IF(AA40&gt;0,X40+$B$6*AA40,IF(AND(AA40&lt;0,(V40+X40+Y40)&gt;0),X40*(1-MIN(1,ABS(AA40)/(V40+X40+Y40))),X40))</f>
      </c>
      <c r="AD40" s="4">
        <f>IF(AA40&gt;0,Y40+$B$7*AA40,IF(AND(AA40&lt;0,(V40+X40+Y40)&gt;0),Y40*(1-MIN(1,ABS(AA40)/(V40+X40+Y40))),Y40))</f>
      </c>
      <c r="AE40" s="4">
        <f>IF(AA40&gt;0,Z40+AA40,IF(AA40&lt;0,MAX(0,Z40+AA40),Z40))</f>
      </c>
      <c r="AF40" s="4">
        <f>AB40+AC40+AD40</f>
      </c>
      <c r="AG40" s="4">
        <f>IF(AND(AF40&gt;AE40,AF40&gt;0),(AF40-AE40)*$B$14,0)</f>
      </c>
      <c r="AH40" s="4">
        <f>MAX(0,AB40*IF(AF40&gt;0,(AF40-AG40)/AF40,1))</f>
      </c>
      <c r="AI40" s="4">
        <f>MAX(0,AC40*IF(AF40&gt;0,(AF40-AG40)/AF40,1))</f>
      </c>
      <c r="AJ40" s="4">
        <f>MAX(0,AD40*IF(AF40&gt;0,(AF40-AG40)/AF40,1))</f>
      </c>
      <c r="AK40" s="4">
        <f>IF(AG40&gt;0,AF40-AG40,AE40)</f>
      </c>
      <c r="AL40" s="4">
        <f>AH40+AI40+AJ40</f>
      </c>
      <c r="AM40" s="5">
        <v>559002.1549862225</v>
      </c>
      <c r="AN40" s="6">
        <f>AL40-AM40</f>
      </c>
    </row>
    <row r="41" spans="1:40" x14ac:dyDescent="0.25">
      <c r="A41">
        <v>2036</v>
      </c>
      <c r="B41">
        <v>65</v>
      </c>
      <c r="C41" s="14">
        <f>IF(B41&lt;$B$24,"A","E")</f>
      </c>
      <c r="D41" s="4">
        <f>AH40</f>
      </c>
      <c r="E41" s="4">
        <f>AI40</f>
      </c>
      <c r="F41" s="4">
        <f>AJ40</f>
      </c>
      <c r="G41" s="4">
        <f>AK40</f>
      </c>
      <c r="H41" s="15">
        <f>$B$8-$B$9</f>
      </c>
      <c r="I41" s="15">
        <f>$B$10-$B$11</f>
      </c>
      <c r="J41" s="15">
        <f>$B$12-$B$13</f>
      </c>
      <c r="K41" s="4">
        <f>D41*H41</f>
      </c>
      <c r="L41" s="4">
        <f>MAX(0,K41)*$B$15</f>
      </c>
      <c r="M41" s="4">
        <f>D41+K41-L41</f>
      </c>
      <c r="N41" s="4">
        <f>E41*(1+I41)</f>
      </c>
      <c r="O41" s="4">
        <f>F41*(1+J41)</f>
      </c>
      <c r="P41" s="4">
        <f>MAX(0,G41+K41-L41)</f>
      </c>
      <c r="Q41" s="16">
        <f>Q40*(1+$B$16)</f>
      </c>
      <c r="R41" s="4">
        <f>IF(C41="A",$B$17*12*IF($B$18=1,Q41,(1+$B$19)^10),0)</f>
      </c>
      <c r="S41" s="4">
        <f>IF(C41="A",0,$B$20*12*IF($B$23=1,Q41,1))</f>
      </c>
      <c r="T41" s="4">
        <f>IF(AND(NOT(C41="A"),B41&gt;=$B$22),$B$21*12*IF($B$23=1,Q41,1),0)</f>
      </c>
      <c r="U41" s="4">
        <f>MAX(0,S41-T41)</f>
      </c>
      <c r="V41" s="4">
        <f>IF(C41="A",M41+$B$5*R41,MAX(0,M41-U41))</f>
      </c>
      <c r="W41" s="15">
        <f>IF(OR(C41="A",M41&gt;=U41,N41+O41&lt;=0),0,MIN(1,(U41-M41)/(N41+O41)))</f>
      </c>
      <c r="X41" s="4">
        <f>IF(C41="A",N41+$B$6*R41,N41*(1-W41))</f>
      </c>
      <c r="Y41" s="4">
        <f>IF(C41="A",O41+$B$7*R41,O41*(1-W41))</f>
      </c>
      <c r="Z41" s="4">
        <f>IF(C41="A",P41+R41,MAX(0,P41-U41))</f>
      </c>
      <c r="AA41" s="4">
        <f>SUMIFS($B$27:$B$27,$A$27:$A$27,"&gt;"&amp;(B41-1),$A$27:$A$27,"&lt;="&amp;B41)</f>
      </c>
      <c r="AB41" s="4">
        <f>IF(AA41&gt;0,V41+$B$5*AA41,IF(AND(AA41&lt;0,(V41+X41+Y41)&gt;0),V41*(1-MIN(1,ABS(AA41)/(V41+X41+Y41))),V41))</f>
      </c>
      <c r="AC41" s="4">
        <f>IF(AA41&gt;0,X41+$B$6*AA41,IF(AND(AA41&lt;0,(V41+X41+Y41)&gt;0),X41*(1-MIN(1,ABS(AA41)/(V41+X41+Y41))),X41))</f>
      </c>
      <c r="AD41" s="4">
        <f>IF(AA41&gt;0,Y41+$B$7*AA41,IF(AND(AA41&lt;0,(V41+X41+Y41)&gt;0),Y41*(1-MIN(1,ABS(AA41)/(V41+X41+Y41))),Y41))</f>
      </c>
      <c r="AE41" s="4">
        <f>IF(AA41&gt;0,Z41+AA41,IF(AA41&lt;0,MAX(0,Z41+AA41),Z41))</f>
      </c>
      <c r="AF41" s="4">
        <f>AB41+AC41+AD41</f>
      </c>
      <c r="AG41" s="4">
        <f>IF(AND(AF41&gt;AE41,AF41&gt;0),(AF41-AE41)*$B$14,0)</f>
      </c>
      <c r="AH41" s="4">
        <f>MAX(0,AB41*IF(AF41&gt;0,(AF41-AG41)/AF41,1))</f>
      </c>
      <c r="AI41" s="4">
        <f>MAX(0,AC41*IF(AF41&gt;0,(AF41-AG41)/AF41,1))</f>
      </c>
      <c r="AJ41" s="4">
        <f>MAX(0,AD41*IF(AF41&gt;0,(AF41-AG41)/AF41,1))</f>
      </c>
      <c r="AK41" s="4">
        <f>IF(AG41&gt;0,AF41-AG41,AE41)</f>
      </c>
      <c r="AL41" s="4">
        <f>AH41+AI41+AJ41</f>
      </c>
      <c r="AM41" s="5">
        <v>547699.9383919688</v>
      </c>
      <c r="AN41" s="6">
        <f>AL41-AM41</f>
      </c>
    </row>
    <row r="42" spans="1:40" x14ac:dyDescent="0.25">
      <c r="A42">
        <v>2037</v>
      </c>
      <c r="B42">
        <v>66</v>
      </c>
      <c r="C42" s="14">
        <f>IF(B42&lt;$B$24,"A","E")</f>
      </c>
      <c r="D42" s="4">
        <f>AH41</f>
      </c>
      <c r="E42" s="4">
        <f>AI41</f>
      </c>
      <c r="F42" s="4">
        <f>AJ41</f>
      </c>
      <c r="G42" s="4">
        <f>AK41</f>
      </c>
      <c r="H42" s="15">
        <f>$B$8-$B$9</f>
      </c>
      <c r="I42" s="15">
        <f>$B$10-$B$11</f>
      </c>
      <c r="J42" s="15">
        <f>$B$12-$B$13</f>
      </c>
      <c r="K42" s="4">
        <f>D42*H42</f>
      </c>
      <c r="L42" s="4">
        <f>MAX(0,K42)*$B$15</f>
      </c>
      <c r="M42" s="4">
        <f>D42+K42-L42</f>
      </c>
      <c r="N42" s="4">
        <f>E42*(1+I42)</f>
      </c>
      <c r="O42" s="4">
        <f>F42*(1+J42)</f>
      </c>
      <c r="P42" s="4">
        <f>MAX(0,G42+K42-L42)</f>
      </c>
      <c r="Q42" s="16">
        <f>Q41*(1+$B$16)</f>
      </c>
      <c r="R42" s="4">
        <f>IF(C42="A",$B$17*12*IF($B$18=1,Q42,(1+$B$19)^11),0)</f>
      </c>
      <c r="S42" s="4">
        <f>IF(C42="A",0,$B$20*12*IF($B$23=1,Q42,1))</f>
      </c>
      <c r="T42" s="4">
        <f>IF(AND(NOT(C42="A"),B42&gt;=$B$22),$B$21*12*IF($B$23=1,Q42,1),0)</f>
      </c>
      <c r="U42" s="4">
        <f>MAX(0,S42-T42)</f>
      </c>
      <c r="V42" s="4">
        <f>IF(C42="A",M42+$B$5*R42,MAX(0,M42-U42))</f>
      </c>
      <c r="W42" s="15">
        <f>IF(OR(C42="A",M42&gt;=U42,N42+O42&lt;=0),0,MIN(1,(U42-M42)/(N42+O42)))</f>
      </c>
      <c r="X42" s="4">
        <f>IF(C42="A",N42+$B$6*R42,N42*(1-W42))</f>
      </c>
      <c r="Y42" s="4">
        <f>IF(C42="A",O42+$B$7*R42,O42*(1-W42))</f>
      </c>
      <c r="Z42" s="4">
        <f>IF(C42="A",P42+R42,MAX(0,P42-U42))</f>
      </c>
      <c r="AA42" s="4">
        <f>SUMIFS($B$27:$B$27,$A$27:$A$27,"&gt;"&amp;(B42-1),$A$27:$A$27,"&lt;="&amp;B42)</f>
      </c>
      <c r="AB42" s="4">
        <f>IF(AA42&gt;0,V42+$B$5*AA42,IF(AND(AA42&lt;0,(V42+X42+Y42)&gt;0),V42*(1-MIN(1,ABS(AA42)/(V42+X42+Y42))),V42))</f>
      </c>
      <c r="AC42" s="4">
        <f>IF(AA42&gt;0,X42+$B$6*AA42,IF(AND(AA42&lt;0,(V42+X42+Y42)&gt;0),X42*(1-MIN(1,ABS(AA42)/(V42+X42+Y42))),X42))</f>
      </c>
      <c r="AD42" s="4">
        <f>IF(AA42&gt;0,Y42+$B$7*AA42,IF(AND(AA42&lt;0,(V42+X42+Y42)&gt;0),Y42*(1-MIN(1,ABS(AA42)/(V42+X42+Y42))),Y42))</f>
      </c>
      <c r="AE42" s="4">
        <f>IF(AA42&gt;0,Z42+AA42,IF(AA42&lt;0,MAX(0,Z42+AA42),Z42))</f>
      </c>
      <c r="AF42" s="4">
        <f>AB42+AC42+AD42</f>
      </c>
      <c r="AG42" s="4">
        <f>IF(AND(AF42&gt;AE42,AF42&gt;0),(AF42-AE42)*$B$14,0)</f>
      </c>
      <c r="AH42" s="4">
        <f>MAX(0,AB42*IF(AF42&gt;0,(AF42-AG42)/AF42,1))</f>
      </c>
      <c r="AI42" s="4">
        <f>MAX(0,AC42*IF(AF42&gt;0,(AF42-AG42)/AF42,1))</f>
      </c>
      <c r="AJ42" s="4">
        <f>MAX(0,AD42*IF(AF42&gt;0,(AF42-AG42)/AF42,1))</f>
      </c>
      <c r="AK42" s="4">
        <f>IF(AG42&gt;0,AF42-AG42,AE42)</f>
      </c>
      <c r="AL42" s="4">
        <f>AH42+AI42+AJ42</f>
      </c>
      <c r="AM42" s="5">
        <v>535981.9491965759</v>
      </c>
      <c r="AN42" s="6">
        <f>AL42-AM42</f>
      </c>
    </row>
    <row r="43" spans="1:40" x14ac:dyDescent="0.25">
      <c r="A43">
        <v>2038</v>
      </c>
      <c r="B43">
        <v>67</v>
      </c>
      <c r="C43" s="14">
        <f>IF(B43&lt;$B$24,"A","E")</f>
      </c>
      <c r="D43" s="4">
        <f>AH42</f>
      </c>
      <c r="E43" s="4">
        <f>AI42</f>
      </c>
      <c r="F43" s="4">
        <f>AJ42</f>
      </c>
      <c r="G43" s="4">
        <f>AK42</f>
      </c>
      <c r="H43" s="15">
        <f>$B$8-$B$9</f>
      </c>
      <c r="I43" s="15">
        <f>$B$10-$B$11</f>
      </c>
      <c r="J43" s="15">
        <f>$B$12-$B$13</f>
      </c>
      <c r="K43" s="4">
        <f>D43*H43</f>
      </c>
      <c r="L43" s="4">
        <f>MAX(0,K43)*$B$15</f>
      </c>
      <c r="M43" s="4">
        <f>D43+K43-L43</f>
      </c>
      <c r="N43" s="4">
        <f>E43*(1+I43)</f>
      </c>
      <c r="O43" s="4">
        <f>F43*(1+J43)</f>
      </c>
      <c r="P43" s="4">
        <f>MAX(0,G43+K43-L43)</f>
      </c>
      <c r="Q43" s="16">
        <f>Q42*(1+$B$16)</f>
      </c>
      <c r="R43" s="4">
        <f>IF(C43="A",$B$17*12*IF($B$18=1,Q43,(1+$B$19)^12),0)</f>
      </c>
      <c r="S43" s="4">
        <f>IF(C43="A",0,$B$20*12*IF($B$23=1,Q43,1))</f>
      </c>
      <c r="T43" s="4">
        <f>IF(AND(NOT(C43="A"),B43&gt;=$B$22),$B$21*12*IF($B$23=1,Q43,1),0)</f>
      </c>
      <c r="U43" s="4">
        <f>MAX(0,S43-T43)</f>
      </c>
      <c r="V43" s="4">
        <f>IF(C43="A",M43+$B$5*R43,MAX(0,M43-U43))</f>
      </c>
      <c r="W43" s="15">
        <f>IF(OR(C43="A",M43&gt;=U43,N43+O43&lt;=0),0,MIN(1,(U43-M43)/(N43+O43)))</f>
      </c>
      <c r="X43" s="4">
        <f>IF(C43="A",N43+$B$6*R43,N43*(1-W43))</f>
      </c>
      <c r="Y43" s="4">
        <f>IF(C43="A",O43+$B$7*R43,O43*(1-W43))</f>
      </c>
      <c r="Z43" s="4">
        <f>IF(C43="A",P43+R43,MAX(0,P43-U43))</f>
      </c>
      <c r="AA43" s="4">
        <f>SUMIFS($B$27:$B$27,$A$27:$A$27,"&gt;"&amp;(B43-1),$A$27:$A$27,"&lt;="&amp;B43)</f>
      </c>
      <c r="AB43" s="4">
        <f>IF(AA43&gt;0,V43+$B$5*AA43,IF(AND(AA43&lt;0,(V43+X43+Y43)&gt;0),V43*(1-MIN(1,ABS(AA43)/(V43+X43+Y43))),V43))</f>
      </c>
      <c r="AC43" s="4">
        <f>IF(AA43&gt;0,X43+$B$6*AA43,IF(AND(AA43&lt;0,(V43+X43+Y43)&gt;0),X43*(1-MIN(1,ABS(AA43)/(V43+X43+Y43))),X43))</f>
      </c>
      <c r="AD43" s="4">
        <f>IF(AA43&gt;0,Y43+$B$7*AA43,IF(AND(AA43&lt;0,(V43+X43+Y43)&gt;0),Y43*(1-MIN(1,ABS(AA43)/(V43+X43+Y43))),Y43))</f>
      </c>
      <c r="AE43" s="4">
        <f>IF(AA43&gt;0,Z43+AA43,IF(AA43&lt;0,MAX(0,Z43+AA43),Z43))</f>
      </c>
      <c r="AF43" s="4">
        <f>AB43+AC43+AD43</f>
      </c>
      <c r="AG43" s="4">
        <f>IF(AND(AF43&gt;AE43,AF43&gt;0),(AF43-AE43)*$B$14,0)</f>
      </c>
      <c r="AH43" s="4">
        <f>MAX(0,AB43*IF(AF43&gt;0,(AF43-AG43)/AF43,1))</f>
      </c>
      <c r="AI43" s="4">
        <f>MAX(0,AC43*IF(AF43&gt;0,(AF43-AG43)/AF43,1))</f>
      </c>
      <c r="AJ43" s="4">
        <f>MAX(0,AD43*IF(AF43&gt;0,(AF43-AG43)/AF43,1))</f>
      </c>
      <c r="AK43" s="4">
        <f>IF(AG43&gt;0,AF43-AG43,AE43)</f>
      </c>
      <c r="AL43" s="4">
        <f>AH43+AI43+AJ43</f>
      </c>
      <c r="AM43" s="5">
        <v>523835.39762286743</v>
      </c>
      <c r="AN43" s="6">
        <f>AL43-AM43</f>
      </c>
    </row>
    <row r="44" spans="1:40" x14ac:dyDescent="0.25">
      <c r="A44">
        <v>2039</v>
      </c>
      <c r="B44">
        <v>68</v>
      </c>
      <c r="C44" s="14">
        <f>IF(B44&lt;$B$24,"A","E")</f>
      </c>
      <c r="D44" s="4">
        <f>AH43</f>
      </c>
      <c r="E44" s="4">
        <f>AI43</f>
      </c>
      <c r="F44" s="4">
        <f>AJ43</f>
      </c>
      <c r="G44" s="4">
        <f>AK43</f>
      </c>
      <c r="H44" s="15">
        <f>$B$8-$B$9</f>
      </c>
      <c r="I44" s="15">
        <f>$B$10-$B$11</f>
      </c>
      <c r="J44" s="15">
        <f>$B$12-$B$13</f>
      </c>
      <c r="K44" s="4">
        <f>D44*H44</f>
      </c>
      <c r="L44" s="4">
        <f>MAX(0,K44)*$B$15</f>
      </c>
      <c r="M44" s="4">
        <f>D44+K44-L44</f>
      </c>
      <c r="N44" s="4">
        <f>E44*(1+I44)</f>
      </c>
      <c r="O44" s="4">
        <f>F44*(1+J44)</f>
      </c>
      <c r="P44" s="4">
        <f>MAX(0,G44+K44-L44)</f>
      </c>
      <c r="Q44" s="16">
        <f>Q43*(1+$B$16)</f>
      </c>
      <c r="R44" s="4">
        <f>IF(C44="A",$B$17*12*IF($B$18=1,Q44,(1+$B$19)^13),0)</f>
      </c>
      <c r="S44" s="4">
        <f>IF(C44="A",0,$B$20*12*IF($B$23=1,Q44,1))</f>
      </c>
      <c r="T44" s="4">
        <f>IF(AND(NOT(C44="A"),B44&gt;=$B$22),$B$21*12*IF($B$23=1,Q44,1),0)</f>
      </c>
      <c r="U44" s="4">
        <f>MAX(0,S44-T44)</f>
      </c>
      <c r="V44" s="4">
        <f>IF(C44="A",M44+$B$5*R44,MAX(0,M44-U44))</f>
      </c>
      <c r="W44" s="15">
        <f>IF(OR(C44="A",M44&gt;=U44,N44+O44&lt;=0),0,MIN(1,(U44-M44)/(N44+O44)))</f>
      </c>
      <c r="X44" s="4">
        <f>IF(C44="A",N44+$B$6*R44,N44*(1-W44))</f>
      </c>
      <c r="Y44" s="4">
        <f>IF(C44="A",O44+$B$7*R44,O44*(1-W44))</f>
      </c>
      <c r="Z44" s="4">
        <f>IF(C44="A",P44+R44,MAX(0,P44-U44))</f>
      </c>
      <c r="AA44" s="4">
        <f>SUMIFS($B$27:$B$27,$A$27:$A$27,"&gt;"&amp;(B44-1),$A$27:$A$27,"&lt;="&amp;B44)</f>
      </c>
      <c r="AB44" s="4">
        <f>IF(AA44&gt;0,V44+$B$5*AA44,IF(AND(AA44&lt;0,(V44+X44+Y44)&gt;0),V44*(1-MIN(1,ABS(AA44)/(V44+X44+Y44))),V44))</f>
      </c>
      <c r="AC44" s="4">
        <f>IF(AA44&gt;0,X44+$B$6*AA44,IF(AND(AA44&lt;0,(V44+X44+Y44)&gt;0),X44*(1-MIN(1,ABS(AA44)/(V44+X44+Y44))),X44))</f>
      </c>
      <c r="AD44" s="4">
        <f>IF(AA44&gt;0,Y44+$B$7*AA44,IF(AND(AA44&lt;0,(V44+X44+Y44)&gt;0),Y44*(1-MIN(1,ABS(AA44)/(V44+X44+Y44))),Y44))</f>
      </c>
      <c r="AE44" s="4">
        <f>IF(AA44&gt;0,Z44+AA44,IF(AA44&lt;0,MAX(0,Z44+AA44),Z44))</f>
      </c>
      <c r="AF44" s="4">
        <f>AB44+AC44+AD44</f>
      </c>
      <c r="AG44" s="4">
        <f>IF(AND(AF44&gt;AE44,AF44&gt;0),(AF44-AE44)*$B$14,0)</f>
      </c>
      <c r="AH44" s="4">
        <f>MAX(0,AB44*IF(AF44&gt;0,(AF44-AG44)/AF44,1))</f>
      </c>
      <c r="AI44" s="4">
        <f>MAX(0,AC44*IF(AF44&gt;0,(AF44-AG44)/AF44,1))</f>
      </c>
      <c r="AJ44" s="4">
        <f>MAX(0,AD44*IF(AF44&gt;0,(AF44-AG44)/AF44,1))</f>
      </c>
      <c r="AK44" s="4">
        <f>IF(AG44&gt;0,AF44-AG44,AE44)</f>
      </c>
      <c r="AL44" s="4">
        <f>AH44+AI44+AJ44</f>
      </c>
      <c r="AM44" s="5">
        <v>510801.7431827362</v>
      </c>
      <c r="AN44" s="6">
        <f>AL44-AM44</f>
      </c>
    </row>
    <row r="45" spans="1:40" x14ac:dyDescent="0.25">
      <c r="A45">
        <v>2040</v>
      </c>
      <c r="B45">
        <v>69</v>
      </c>
      <c r="C45" s="14">
        <f>IF(B45&lt;$B$24,"A","E")</f>
      </c>
      <c r="D45" s="4">
        <f>AH44</f>
      </c>
      <c r="E45" s="4">
        <f>AI44</f>
      </c>
      <c r="F45" s="4">
        <f>AJ44</f>
      </c>
      <c r="G45" s="4">
        <f>AK44</f>
      </c>
      <c r="H45" s="15">
        <f>$B$8-$B$9</f>
      </c>
      <c r="I45" s="15">
        <f>$B$10-$B$11</f>
      </c>
      <c r="J45" s="15">
        <f>$B$12-$B$13</f>
      </c>
      <c r="K45" s="4">
        <f>D45*H45</f>
      </c>
      <c r="L45" s="4">
        <f>MAX(0,K45)*$B$15</f>
      </c>
      <c r="M45" s="4">
        <f>D45+K45-L45</f>
      </c>
      <c r="N45" s="4">
        <f>E45*(1+I45)</f>
      </c>
      <c r="O45" s="4">
        <f>F45*(1+J45)</f>
      </c>
      <c r="P45" s="4">
        <f>MAX(0,G45+K45-L45)</f>
      </c>
      <c r="Q45" s="16">
        <f>Q44*(1+$B$16)</f>
      </c>
      <c r="R45" s="4">
        <f>IF(C45="A",$B$17*12*IF($B$18=1,Q45,(1+$B$19)^14),0)</f>
      </c>
      <c r="S45" s="4">
        <f>IF(C45="A",0,$B$20*12*IF($B$23=1,Q45,1))</f>
      </c>
      <c r="T45" s="4">
        <f>IF(AND(NOT(C45="A"),B45&gt;=$B$22),$B$21*12*IF($B$23=1,Q45,1),0)</f>
      </c>
      <c r="U45" s="4">
        <f>MAX(0,S45-T45)</f>
      </c>
      <c r="V45" s="4">
        <f>IF(C45="A",M45+$B$5*R45,MAX(0,M45-U45))</f>
      </c>
      <c r="W45" s="15">
        <f>IF(OR(C45="A",M45&gt;=U45,N45+O45&lt;=0),0,MIN(1,(U45-M45)/(N45+O45)))</f>
      </c>
      <c r="X45" s="4">
        <f>IF(C45="A",N45+$B$6*R45,N45*(1-W45))</f>
      </c>
      <c r="Y45" s="4">
        <f>IF(C45="A",O45+$B$7*R45,O45*(1-W45))</f>
      </c>
      <c r="Z45" s="4">
        <f>IF(C45="A",P45+R45,MAX(0,P45-U45))</f>
      </c>
      <c r="AA45" s="4">
        <f>SUMIFS($B$27:$B$27,$A$27:$A$27,"&gt;"&amp;(B45-1),$A$27:$A$27,"&lt;="&amp;B45)</f>
      </c>
      <c r="AB45" s="4">
        <f>IF(AA45&gt;0,V45+$B$5*AA45,IF(AND(AA45&lt;0,(V45+X45+Y45)&gt;0),V45*(1-MIN(1,ABS(AA45)/(V45+X45+Y45))),V45))</f>
      </c>
      <c r="AC45" s="4">
        <f>IF(AA45&gt;0,X45+$B$6*AA45,IF(AND(AA45&lt;0,(V45+X45+Y45)&gt;0),X45*(1-MIN(1,ABS(AA45)/(V45+X45+Y45))),X45))</f>
      </c>
      <c r="AD45" s="4">
        <f>IF(AA45&gt;0,Y45+$B$7*AA45,IF(AND(AA45&lt;0,(V45+X45+Y45)&gt;0),Y45*(1-MIN(1,ABS(AA45)/(V45+X45+Y45))),Y45))</f>
      </c>
      <c r="AE45" s="4">
        <f>IF(AA45&gt;0,Z45+AA45,IF(AA45&lt;0,MAX(0,Z45+AA45),Z45))</f>
      </c>
      <c r="AF45" s="4">
        <f>AB45+AC45+AD45</f>
      </c>
      <c r="AG45" s="4">
        <f>IF(AND(AF45&gt;AE45,AF45&gt;0),(AF45-AE45)*$B$14,0)</f>
      </c>
      <c r="AH45" s="4">
        <f>MAX(0,AB45*IF(AF45&gt;0,(AF45-AG45)/AF45,1))</f>
      </c>
      <c r="AI45" s="4">
        <f>MAX(0,AC45*IF(AF45&gt;0,(AF45-AG45)/AF45,1))</f>
      </c>
      <c r="AJ45" s="4">
        <f>MAX(0,AD45*IF(AF45&gt;0,(AF45-AG45)/AF45,1))</f>
      </c>
      <c r="AK45" s="4">
        <f>IF(AG45&gt;0,AF45-AG45,AE45)</f>
      </c>
      <c r="AL45" s="4">
        <f>AH45+AI45+AJ45</f>
      </c>
      <c r="AM45" s="5">
        <v>496624.03738812776</v>
      </c>
      <c r="AN45" s="6">
        <f>AL45-AM45</f>
      </c>
    </row>
    <row r="46" spans="1:40" x14ac:dyDescent="0.25">
      <c r="A46">
        <v>2041</v>
      </c>
      <c r="B46">
        <v>70</v>
      </c>
      <c r="C46" s="14">
        <f>IF(B46&lt;$B$24,"A","E")</f>
      </c>
      <c r="D46" s="4">
        <f>AH45</f>
      </c>
      <c r="E46" s="4">
        <f>AI45</f>
      </c>
      <c r="F46" s="4">
        <f>AJ45</f>
      </c>
      <c r="G46" s="4">
        <f>AK45</f>
      </c>
      <c r="H46" s="15">
        <f>$B$8-$B$9</f>
      </c>
      <c r="I46" s="15">
        <f>$B$10-$B$11</f>
      </c>
      <c r="J46" s="15">
        <f>$B$12-$B$13</f>
      </c>
      <c r="K46" s="4">
        <f>D46*H46</f>
      </c>
      <c r="L46" s="4">
        <f>MAX(0,K46)*$B$15</f>
      </c>
      <c r="M46" s="4">
        <f>D46+K46-L46</f>
      </c>
      <c r="N46" s="4">
        <f>E46*(1+I46)</f>
      </c>
      <c r="O46" s="4">
        <f>F46*(1+J46)</f>
      </c>
      <c r="P46" s="4">
        <f>MAX(0,G46+K46-L46)</f>
      </c>
      <c r="Q46" s="16">
        <f>Q45*(1+$B$16)</f>
      </c>
      <c r="R46" s="4">
        <f>IF(C46="A",$B$17*12*IF($B$18=1,Q46,(1+$B$19)^15),0)</f>
      </c>
      <c r="S46" s="4">
        <f>IF(C46="A",0,$B$20*12*IF($B$23=1,Q46,1))</f>
      </c>
      <c r="T46" s="4">
        <f>IF(AND(NOT(C46="A"),B46&gt;=$B$22),$B$21*12*IF($B$23=1,Q46,1),0)</f>
      </c>
      <c r="U46" s="4">
        <f>MAX(0,S46-T46)</f>
      </c>
      <c r="V46" s="4">
        <f>IF(C46="A",M46+$B$5*R46,MAX(0,M46-U46))</f>
      </c>
      <c r="W46" s="15">
        <f>IF(OR(C46="A",M46&gt;=U46,N46+O46&lt;=0),0,MIN(1,(U46-M46)/(N46+O46)))</f>
      </c>
      <c r="X46" s="4">
        <f>IF(C46="A",N46+$B$6*R46,N46*(1-W46))</f>
      </c>
      <c r="Y46" s="4">
        <f>IF(C46="A",O46+$B$7*R46,O46*(1-W46))</f>
      </c>
      <c r="Z46" s="4">
        <f>IF(C46="A",P46+R46,MAX(0,P46-U46))</f>
      </c>
      <c r="AA46" s="4">
        <f>SUMIFS($B$27:$B$27,$A$27:$A$27,"&gt;"&amp;(B46-1),$A$27:$A$27,"&lt;="&amp;B46)</f>
      </c>
      <c r="AB46" s="4">
        <f>IF(AA46&gt;0,V46+$B$5*AA46,IF(AND(AA46&lt;0,(V46+X46+Y46)&gt;0),V46*(1-MIN(1,ABS(AA46)/(V46+X46+Y46))),V46))</f>
      </c>
      <c r="AC46" s="4">
        <f>IF(AA46&gt;0,X46+$B$6*AA46,IF(AND(AA46&lt;0,(V46+X46+Y46)&gt;0),X46*(1-MIN(1,ABS(AA46)/(V46+X46+Y46))),X46))</f>
      </c>
      <c r="AD46" s="4">
        <f>IF(AA46&gt;0,Y46+$B$7*AA46,IF(AND(AA46&lt;0,(V46+X46+Y46)&gt;0),Y46*(1-MIN(1,ABS(AA46)/(V46+X46+Y46))),Y46))</f>
      </c>
      <c r="AE46" s="4">
        <f>IF(AA46&gt;0,Z46+AA46,IF(AA46&lt;0,MAX(0,Z46+AA46),Z46))</f>
      </c>
      <c r="AF46" s="4">
        <f>AB46+AC46+AD46</f>
      </c>
      <c r="AG46" s="4">
        <f>IF(AND(AF46&gt;AE46,AF46&gt;0),(AF46-AE46)*$B$14,0)</f>
      </c>
      <c r="AH46" s="4">
        <f>MAX(0,AB46*IF(AF46&gt;0,(AF46-AG46)/AF46,1))</f>
      </c>
      <c r="AI46" s="4">
        <f>MAX(0,AC46*IF(AF46&gt;0,(AF46-AG46)/AF46,1))</f>
      </c>
      <c r="AJ46" s="4">
        <f>MAX(0,AD46*IF(AF46&gt;0,(AF46-AG46)/AF46,1))</f>
      </c>
      <c r="AK46" s="4">
        <f>IF(AG46&gt;0,AF46-AG46,AE46)</f>
      </c>
      <c r="AL46" s="4">
        <f>AH46+AI46+AJ46</f>
      </c>
      <c r="AM46" s="5">
        <v>481241.59379481326</v>
      </c>
      <c r="AN46" s="6">
        <f>AL46-AM46</f>
      </c>
    </row>
    <row r="47" spans="1:40" x14ac:dyDescent="0.25">
      <c r="A47">
        <v>2042</v>
      </c>
      <c r="B47">
        <v>71</v>
      </c>
      <c r="C47" s="14">
        <f>IF(B47&lt;$B$24,"A","E")</f>
      </c>
      <c r="D47" s="4">
        <f>AH46</f>
      </c>
      <c r="E47" s="4">
        <f>AI46</f>
      </c>
      <c r="F47" s="4">
        <f>AJ46</f>
      </c>
      <c r="G47" s="4">
        <f>AK46</f>
      </c>
      <c r="H47" s="15">
        <f>$B$8-$B$9</f>
      </c>
      <c r="I47" s="15">
        <f>$B$10-$B$11</f>
      </c>
      <c r="J47" s="15">
        <f>$B$12-$B$13</f>
      </c>
      <c r="K47" s="4">
        <f>D47*H47</f>
      </c>
      <c r="L47" s="4">
        <f>MAX(0,K47)*$B$15</f>
      </c>
      <c r="M47" s="4">
        <f>D47+K47-L47</f>
      </c>
      <c r="N47" s="4">
        <f>E47*(1+I47)</f>
      </c>
      <c r="O47" s="4">
        <f>F47*(1+J47)</f>
      </c>
      <c r="P47" s="4">
        <f>MAX(0,G47+K47-L47)</f>
      </c>
      <c r="Q47" s="16">
        <f>Q46*(1+$B$16)</f>
      </c>
      <c r="R47" s="4">
        <f>IF(C47="A",$B$17*12*IF($B$18=1,Q47,(1+$B$19)^16),0)</f>
      </c>
      <c r="S47" s="4">
        <f>IF(C47="A",0,$B$20*12*IF($B$23=1,Q47,1))</f>
      </c>
      <c r="T47" s="4">
        <f>IF(AND(NOT(C47="A"),B47&gt;=$B$22),$B$21*12*IF($B$23=1,Q47,1),0)</f>
      </c>
      <c r="U47" s="4">
        <f>MAX(0,S47-T47)</f>
      </c>
      <c r="V47" s="4">
        <f>IF(C47="A",M47+$B$5*R47,MAX(0,M47-U47))</f>
      </c>
      <c r="W47" s="15">
        <f>IF(OR(C47="A",M47&gt;=U47,N47+O47&lt;=0),0,MIN(1,(U47-M47)/(N47+O47)))</f>
      </c>
      <c r="X47" s="4">
        <f>IF(C47="A",N47+$B$6*R47,N47*(1-W47))</f>
      </c>
      <c r="Y47" s="4">
        <f>IF(C47="A",O47+$B$7*R47,O47*(1-W47))</f>
      </c>
      <c r="Z47" s="4">
        <f>IF(C47="A",P47+R47,MAX(0,P47-U47))</f>
      </c>
      <c r="AA47" s="4">
        <f>SUMIFS($B$27:$B$27,$A$27:$A$27,"&gt;"&amp;(B47-1),$A$27:$A$27,"&lt;="&amp;B47)</f>
      </c>
      <c r="AB47" s="4">
        <f>IF(AA47&gt;0,V47+$B$5*AA47,IF(AND(AA47&lt;0,(V47+X47+Y47)&gt;0),V47*(1-MIN(1,ABS(AA47)/(V47+X47+Y47))),V47))</f>
      </c>
      <c r="AC47" s="4">
        <f>IF(AA47&gt;0,X47+$B$6*AA47,IF(AND(AA47&lt;0,(V47+X47+Y47)&gt;0),X47*(1-MIN(1,ABS(AA47)/(V47+X47+Y47))),X47))</f>
      </c>
      <c r="AD47" s="4">
        <f>IF(AA47&gt;0,Y47+$B$7*AA47,IF(AND(AA47&lt;0,(V47+X47+Y47)&gt;0),Y47*(1-MIN(1,ABS(AA47)/(V47+X47+Y47))),Y47))</f>
      </c>
      <c r="AE47" s="4">
        <f>IF(AA47&gt;0,Z47+AA47,IF(AA47&lt;0,MAX(0,Z47+AA47),Z47))</f>
      </c>
      <c r="AF47" s="4">
        <f>AB47+AC47+AD47</f>
      </c>
      <c r="AG47" s="4">
        <f>IF(AND(AF47&gt;AE47,AF47&gt;0),(AF47-AE47)*$B$14,0)</f>
      </c>
      <c r="AH47" s="4">
        <f>MAX(0,AB47*IF(AF47&gt;0,(AF47-AG47)/AF47,1))</f>
      </c>
      <c r="AI47" s="4">
        <f>MAX(0,AC47*IF(AF47&gt;0,(AF47-AG47)/AF47,1))</f>
      </c>
      <c r="AJ47" s="4">
        <f>MAX(0,AD47*IF(AF47&gt;0,(AF47-AG47)/AF47,1))</f>
      </c>
      <c r="AK47" s="4">
        <f>IF(AG47&gt;0,AF47-AG47,AE47)</f>
      </c>
      <c r="AL47" s="4">
        <f>AH47+AI47+AJ47</f>
      </c>
      <c r="AM47" s="5">
        <v>464590.86933323974</v>
      </c>
      <c r="AN47" s="6">
        <f>AL47-AM47</f>
      </c>
    </row>
    <row r="48" spans="1:40" x14ac:dyDescent="0.25">
      <c r="A48">
        <v>2043</v>
      </c>
      <c r="B48">
        <v>72</v>
      </c>
      <c r="C48" s="14">
        <f>IF(B48&lt;$B$24,"A","E")</f>
      </c>
      <c r="D48" s="4">
        <f>AH47</f>
      </c>
      <c r="E48" s="4">
        <f>AI47</f>
      </c>
      <c r="F48" s="4">
        <f>AJ47</f>
      </c>
      <c r="G48" s="4">
        <f>AK47</f>
      </c>
      <c r="H48" s="15">
        <f>$B$8-$B$9</f>
      </c>
      <c r="I48" s="15">
        <f>$B$10-$B$11</f>
      </c>
      <c r="J48" s="15">
        <f>$B$12-$B$13</f>
      </c>
      <c r="K48" s="4">
        <f>D48*H48</f>
      </c>
      <c r="L48" s="4">
        <f>MAX(0,K48)*$B$15</f>
      </c>
      <c r="M48" s="4">
        <f>D48+K48-L48</f>
      </c>
      <c r="N48" s="4">
        <f>E48*(1+I48)</f>
      </c>
      <c r="O48" s="4">
        <f>F48*(1+J48)</f>
      </c>
      <c r="P48" s="4">
        <f>MAX(0,G48+K48-L48)</f>
      </c>
      <c r="Q48" s="16">
        <f>Q47*(1+$B$16)</f>
      </c>
      <c r="R48" s="4">
        <f>IF(C48="A",$B$17*12*IF($B$18=1,Q48,(1+$B$19)^17),0)</f>
      </c>
      <c r="S48" s="4">
        <f>IF(C48="A",0,$B$20*12*IF($B$23=1,Q48,1))</f>
      </c>
      <c r="T48" s="4">
        <f>IF(AND(NOT(C48="A"),B48&gt;=$B$22),$B$21*12*IF($B$23=1,Q48,1),0)</f>
      </c>
      <c r="U48" s="4">
        <f>MAX(0,S48-T48)</f>
      </c>
      <c r="V48" s="4">
        <f>IF(C48="A",M48+$B$5*R48,MAX(0,M48-U48))</f>
      </c>
      <c r="W48" s="15">
        <f>IF(OR(C48="A",M48&gt;=U48,N48+O48&lt;=0),0,MIN(1,(U48-M48)/(N48+O48)))</f>
      </c>
      <c r="X48" s="4">
        <f>IF(C48="A",N48+$B$6*R48,N48*(1-W48))</f>
      </c>
      <c r="Y48" s="4">
        <f>IF(C48="A",O48+$B$7*R48,O48*(1-W48))</f>
      </c>
      <c r="Z48" s="4">
        <f>IF(C48="A",P48+R48,MAX(0,P48-U48))</f>
      </c>
      <c r="AA48" s="4">
        <f>SUMIFS($B$27:$B$27,$A$27:$A$27,"&gt;"&amp;(B48-1),$A$27:$A$27,"&lt;="&amp;B48)</f>
      </c>
      <c r="AB48" s="4">
        <f>IF(AA48&gt;0,V48+$B$5*AA48,IF(AND(AA48&lt;0,(V48+X48+Y48)&gt;0),V48*(1-MIN(1,ABS(AA48)/(V48+X48+Y48))),V48))</f>
      </c>
      <c r="AC48" s="4">
        <f>IF(AA48&gt;0,X48+$B$6*AA48,IF(AND(AA48&lt;0,(V48+X48+Y48)&gt;0),X48*(1-MIN(1,ABS(AA48)/(V48+X48+Y48))),X48))</f>
      </c>
      <c r="AD48" s="4">
        <f>IF(AA48&gt;0,Y48+$B$7*AA48,IF(AND(AA48&lt;0,(V48+X48+Y48)&gt;0),Y48*(1-MIN(1,ABS(AA48)/(V48+X48+Y48))),Y48))</f>
      </c>
      <c r="AE48" s="4">
        <f>IF(AA48&gt;0,Z48+AA48,IF(AA48&lt;0,MAX(0,Z48+AA48),Z48))</f>
      </c>
      <c r="AF48" s="4">
        <f>AB48+AC48+AD48</f>
      </c>
      <c r="AG48" s="4">
        <f>IF(AND(AF48&gt;AE48,AF48&gt;0),(AF48-AE48)*$B$14,0)</f>
      </c>
      <c r="AH48" s="4">
        <f>MAX(0,AB48*IF(AF48&gt;0,(AF48-AG48)/AF48,1))</f>
      </c>
      <c r="AI48" s="4">
        <f>MAX(0,AC48*IF(AF48&gt;0,(AF48-AG48)/AF48,1))</f>
      </c>
      <c r="AJ48" s="4">
        <f>MAX(0,AD48*IF(AF48&gt;0,(AF48-AG48)/AF48,1))</f>
      </c>
      <c r="AK48" s="4">
        <f>IF(AG48&gt;0,AF48-AG48,AE48)</f>
      </c>
      <c r="AL48" s="4">
        <f>AH48+AI48+AJ48</f>
      </c>
      <c r="AM48" s="5">
        <v>446605.33847824426</v>
      </c>
      <c r="AN48" s="6">
        <f>AL48-AM48</f>
      </c>
    </row>
    <row r="49" spans="1:40" x14ac:dyDescent="0.25">
      <c r="A49">
        <v>2044</v>
      </c>
      <c r="B49">
        <v>73</v>
      </c>
      <c r="C49" s="14">
        <f>IF(B49&lt;$B$24,"A","E")</f>
      </c>
      <c r="D49" s="4">
        <f>AH48</f>
      </c>
      <c r="E49" s="4">
        <f>AI48</f>
      </c>
      <c r="F49" s="4">
        <f>AJ48</f>
      </c>
      <c r="G49" s="4">
        <f>AK48</f>
      </c>
      <c r="H49" s="15">
        <f>$B$8-$B$9</f>
      </c>
      <c r="I49" s="15">
        <f>$B$10-$B$11</f>
      </c>
      <c r="J49" s="15">
        <f>$B$12-$B$13</f>
      </c>
      <c r="K49" s="4">
        <f>D49*H49</f>
      </c>
      <c r="L49" s="4">
        <f>MAX(0,K49)*$B$15</f>
      </c>
      <c r="M49" s="4">
        <f>D49+K49-L49</f>
      </c>
      <c r="N49" s="4">
        <f>E49*(1+I49)</f>
      </c>
      <c r="O49" s="4">
        <f>F49*(1+J49)</f>
      </c>
      <c r="P49" s="4">
        <f>MAX(0,G49+K49-L49)</f>
      </c>
      <c r="Q49" s="16">
        <f>Q48*(1+$B$16)</f>
      </c>
      <c r="R49" s="4">
        <f>IF(C49="A",$B$17*12*IF($B$18=1,Q49,(1+$B$19)^18),0)</f>
      </c>
      <c r="S49" s="4">
        <f>IF(C49="A",0,$B$20*12*IF($B$23=1,Q49,1))</f>
      </c>
      <c r="T49" s="4">
        <f>IF(AND(NOT(C49="A"),B49&gt;=$B$22),$B$21*12*IF($B$23=1,Q49,1),0)</f>
      </c>
      <c r="U49" s="4">
        <f>MAX(0,S49-T49)</f>
      </c>
      <c r="V49" s="4">
        <f>IF(C49="A",M49+$B$5*R49,MAX(0,M49-U49))</f>
      </c>
      <c r="W49" s="15">
        <f>IF(OR(C49="A",M49&gt;=U49,N49+O49&lt;=0),0,MIN(1,(U49-M49)/(N49+O49)))</f>
      </c>
      <c r="X49" s="4">
        <f>IF(C49="A",N49+$B$6*R49,N49*(1-W49))</f>
      </c>
      <c r="Y49" s="4">
        <f>IF(C49="A",O49+$B$7*R49,O49*(1-W49))</f>
      </c>
      <c r="Z49" s="4">
        <f>IF(C49="A",P49+R49,MAX(0,P49-U49))</f>
      </c>
      <c r="AA49" s="4">
        <f>SUMIFS($B$27:$B$27,$A$27:$A$27,"&gt;"&amp;(B49-1),$A$27:$A$27,"&lt;="&amp;B49)</f>
      </c>
      <c r="AB49" s="4">
        <f>IF(AA49&gt;0,V49+$B$5*AA49,IF(AND(AA49&lt;0,(V49+X49+Y49)&gt;0),V49*(1-MIN(1,ABS(AA49)/(V49+X49+Y49))),V49))</f>
      </c>
      <c r="AC49" s="4">
        <f>IF(AA49&gt;0,X49+$B$6*AA49,IF(AND(AA49&lt;0,(V49+X49+Y49)&gt;0),X49*(1-MIN(1,ABS(AA49)/(V49+X49+Y49))),X49))</f>
      </c>
      <c r="AD49" s="4">
        <f>IF(AA49&gt;0,Y49+$B$7*AA49,IF(AND(AA49&lt;0,(V49+X49+Y49)&gt;0),Y49*(1-MIN(1,ABS(AA49)/(V49+X49+Y49))),Y49))</f>
      </c>
      <c r="AE49" s="4">
        <f>IF(AA49&gt;0,Z49+AA49,IF(AA49&lt;0,MAX(0,Z49+AA49),Z49))</f>
      </c>
      <c r="AF49" s="4">
        <f>AB49+AC49+AD49</f>
      </c>
      <c r="AG49" s="4">
        <f>IF(AND(AF49&gt;AE49,AF49&gt;0),(AF49-AE49)*$B$14,0)</f>
      </c>
      <c r="AH49" s="4">
        <f>MAX(0,AB49*IF(AF49&gt;0,(AF49-AG49)/AF49,1))</f>
      </c>
      <c r="AI49" s="4">
        <f>MAX(0,AC49*IF(AF49&gt;0,(AF49-AG49)/AF49,1))</f>
      </c>
      <c r="AJ49" s="4">
        <f>MAX(0,AD49*IF(AF49&gt;0,(AF49-AG49)/AF49,1))</f>
      </c>
      <c r="AK49" s="4">
        <f>IF(AG49&gt;0,AF49-AG49,AE49)</f>
      </c>
      <c r="AL49" s="4">
        <f>AH49+AI49+AJ49</f>
      </c>
      <c r="AM49" s="5">
        <v>427215.3621249582</v>
      </c>
      <c r="AN49" s="6">
        <f>AL49-AM49</f>
      </c>
    </row>
    <row r="50" spans="1:40" x14ac:dyDescent="0.25">
      <c r="A50">
        <v>2045</v>
      </c>
      <c r="B50">
        <v>74</v>
      </c>
      <c r="C50" s="14">
        <f>IF(B50&lt;$B$24,"A","E")</f>
      </c>
      <c r="D50" s="4">
        <f>AH49</f>
      </c>
      <c r="E50" s="4">
        <f>AI49</f>
      </c>
      <c r="F50" s="4">
        <f>AJ49</f>
      </c>
      <c r="G50" s="4">
        <f>AK49</f>
      </c>
      <c r="H50" s="15">
        <f>$B$8-$B$9</f>
      </c>
      <c r="I50" s="15">
        <f>$B$10-$B$11</f>
      </c>
      <c r="J50" s="15">
        <f>$B$12-$B$13</f>
      </c>
      <c r="K50" s="4">
        <f>D50*H50</f>
      </c>
      <c r="L50" s="4">
        <f>MAX(0,K50)*$B$15</f>
      </c>
      <c r="M50" s="4">
        <f>D50+K50-L50</f>
      </c>
      <c r="N50" s="4">
        <f>E50*(1+I50)</f>
      </c>
      <c r="O50" s="4">
        <f>F50*(1+J50)</f>
      </c>
      <c r="P50" s="4">
        <f>MAX(0,G50+K50-L50)</f>
      </c>
      <c r="Q50" s="16">
        <f>Q49*(1+$B$16)</f>
      </c>
      <c r="R50" s="4">
        <f>IF(C50="A",$B$17*12*IF($B$18=1,Q50,(1+$B$19)^19),0)</f>
      </c>
      <c r="S50" s="4">
        <f>IF(C50="A",0,$B$20*12*IF($B$23=1,Q50,1))</f>
      </c>
      <c r="T50" s="4">
        <f>IF(AND(NOT(C50="A"),B50&gt;=$B$22),$B$21*12*IF($B$23=1,Q50,1),0)</f>
      </c>
      <c r="U50" s="4">
        <f>MAX(0,S50-T50)</f>
      </c>
      <c r="V50" s="4">
        <f>IF(C50="A",M50+$B$5*R50,MAX(0,M50-U50))</f>
      </c>
      <c r="W50" s="15">
        <f>IF(OR(C50="A",M50&gt;=U50,N50+O50&lt;=0),0,MIN(1,(U50-M50)/(N50+O50)))</f>
      </c>
      <c r="X50" s="4">
        <f>IF(C50="A",N50+$B$6*R50,N50*(1-W50))</f>
      </c>
      <c r="Y50" s="4">
        <f>IF(C50="A",O50+$B$7*R50,O50*(1-W50))</f>
      </c>
      <c r="Z50" s="4">
        <f>IF(C50="A",P50+R50,MAX(0,P50-U50))</f>
      </c>
      <c r="AA50" s="4">
        <f>SUMIFS($B$27:$B$27,$A$27:$A$27,"&gt;"&amp;(B50-1),$A$27:$A$27,"&lt;="&amp;B50)</f>
      </c>
      <c r="AB50" s="4">
        <f>IF(AA50&gt;0,V50+$B$5*AA50,IF(AND(AA50&lt;0,(V50+X50+Y50)&gt;0),V50*(1-MIN(1,ABS(AA50)/(V50+X50+Y50))),V50))</f>
      </c>
      <c r="AC50" s="4">
        <f>IF(AA50&gt;0,X50+$B$6*AA50,IF(AND(AA50&lt;0,(V50+X50+Y50)&gt;0),X50*(1-MIN(1,ABS(AA50)/(V50+X50+Y50))),X50))</f>
      </c>
      <c r="AD50" s="4">
        <f>IF(AA50&gt;0,Y50+$B$7*AA50,IF(AND(AA50&lt;0,(V50+X50+Y50)&gt;0),Y50*(1-MIN(1,ABS(AA50)/(V50+X50+Y50))),Y50))</f>
      </c>
      <c r="AE50" s="4">
        <f>IF(AA50&gt;0,Z50+AA50,IF(AA50&lt;0,MAX(0,Z50+AA50),Z50))</f>
      </c>
      <c r="AF50" s="4">
        <f>AB50+AC50+AD50</f>
      </c>
      <c r="AG50" s="4">
        <f>IF(AND(AF50&gt;AE50,AF50&gt;0),(AF50-AE50)*$B$14,0)</f>
      </c>
      <c r="AH50" s="4">
        <f>MAX(0,AB50*IF(AF50&gt;0,(AF50-AG50)/AF50,1))</f>
      </c>
      <c r="AI50" s="4">
        <f>MAX(0,AC50*IF(AF50&gt;0,(AF50-AG50)/AF50,1))</f>
      </c>
      <c r="AJ50" s="4">
        <f>MAX(0,AD50*IF(AF50&gt;0,(AF50-AG50)/AF50,1))</f>
      </c>
      <c r="AK50" s="4">
        <f>IF(AG50&gt;0,AF50-AG50,AE50)</f>
      </c>
      <c r="AL50" s="4">
        <f>AH50+AI50+AJ50</f>
      </c>
      <c r="AM50" s="5">
        <v>406348.0509530125</v>
      </c>
      <c r="AN50" s="6">
        <f>AL50-AM50</f>
      </c>
    </row>
    <row r="51" spans="1:40" x14ac:dyDescent="0.25">
      <c r="A51">
        <v>2046</v>
      </c>
      <c r="B51">
        <v>75</v>
      </c>
      <c r="C51" s="14">
        <f>IF(B51&lt;$B$24,"A","E")</f>
      </c>
      <c r="D51" s="4">
        <f>AH50</f>
      </c>
      <c r="E51" s="4">
        <f>AI50</f>
      </c>
      <c r="F51" s="4">
        <f>AJ50</f>
      </c>
      <c r="G51" s="4">
        <f>AK50</f>
      </c>
      <c r="H51" s="15">
        <f>$B$8-$B$9</f>
      </c>
      <c r="I51" s="15">
        <f>$B$10-$B$11</f>
      </c>
      <c r="J51" s="15">
        <f>$B$12-$B$13</f>
      </c>
      <c r="K51" s="4">
        <f>D51*H51</f>
      </c>
      <c r="L51" s="4">
        <f>MAX(0,K51)*$B$15</f>
      </c>
      <c r="M51" s="4">
        <f>D51+K51-L51</f>
      </c>
      <c r="N51" s="4">
        <f>E51*(1+I51)</f>
      </c>
      <c r="O51" s="4">
        <f>F51*(1+J51)</f>
      </c>
      <c r="P51" s="4">
        <f>MAX(0,G51+K51-L51)</f>
      </c>
      <c r="Q51" s="16">
        <f>Q50*(1+$B$16)</f>
      </c>
      <c r="R51" s="4">
        <f>IF(C51="A",$B$17*12*IF($B$18=1,Q51,(1+$B$19)^20),0)</f>
      </c>
      <c r="S51" s="4">
        <f>IF(C51="A",0,$B$20*12*IF($B$23=1,Q51,1))</f>
      </c>
      <c r="T51" s="4">
        <f>IF(AND(NOT(C51="A"),B51&gt;=$B$22),$B$21*12*IF($B$23=1,Q51,1),0)</f>
      </c>
      <c r="U51" s="4">
        <f>MAX(0,S51-T51)</f>
      </c>
      <c r="V51" s="4">
        <f>IF(C51="A",M51+$B$5*R51,MAX(0,M51-U51))</f>
      </c>
      <c r="W51" s="15">
        <f>IF(OR(C51="A",M51&gt;=U51,N51+O51&lt;=0),0,MIN(1,(U51-M51)/(N51+O51)))</f>
      </c>
      <c r="X51" s="4">
        <f>IF(C51="A",N51+$B$6*R51,N51*(1-W51))</f>
      </c>
      <c r="Y51" s="4">
        <f>IF(C51="A",O51+$B$7*R51,O51*(1-W51))</f>
      </c>
      <c r="Z51" s="4">
        <f>IF(C51="A",P51+R51,MAX(0,P51-U51))</f>
      </c>
      <c r="AA51" s="4">
        <f>SUMIFS($B$27:$B$27,$A$27:$A$27,"&gt;"&amp;(B51-1),$A$27:$A$27,"&lt;="&amp;B51)</f>
      </c>
      <c r="AB51" s="4">
        <f>IF(AA51&gt;0,V51+$B$5*AA51,IF(AND(AA51&lt;0,(V51+X51+Y51)&gt;0),V51*(1-MIN(1,ABS(AA51)/(V51+X51+Y51))),V51))</f>
      </c>
      <c r="AC51" s="4">
        <f>IF(AA51&gt;0,X51+$B$6*AA51,IF(AND(AA51&lt;0,(V51+X51+Y51)&gt;0),X51*(1-MIN(1,ABS(AA51)/(V51+X51+Y51))),X51))</f>
      </c>
      <c r="AD51" s="4">
        <f>IF(AA51&gt;0,Y51+$B$7*AA51,IF(AND(AA51&lt;0,(V51+X51+Y51)&gt;0),Y51*(1-MIN(1,ABS(AA51)/(V51+X51+Y51))),Y51))</f>
      </c>
      <c r="AE51" s="4">
        <f>IF(AA51&gt;0,Z51+AA51,IF(AA51&lt;0,MAX(0,Z51+AA51),Z51))</f>
      </c>
      <c r="AF51" s="4">
        <f>AB51+AC51+AD51</f>
      </c>
      <c r="AG51" s="4">
        <f>IF(AND(AF51&gt;AE51,AF51&gt;0),(AF51-AE51)*$B$14,0)</f>
      </c>
      <c r="AH51" s="4">
        <f>MAX(0,AB51*IF(AF51&gt;0,(AF51-AG51)/AF51,1))</f>
      </c>
      <c r="AI51" s="4">
        <f>MAX(0,AC51*IF(AF51&gt;0,(AF51-AG51)/AF51,1))</f>
      </c>
      <c r="AJ51" s="4">
        <f>MAX(0,AD51*IF(AF51&gt;0,(AF51-AG51)/AF51,1))</f>
      </c>
      <c r="AK51" s="4">
        <f>IF(AG51&gt;0,AF51-AG51,AE51)</f>
      </c>
      <c r="AL51" s="4">
        <f>AH51+AI51+AJ51</f>
      </c>
      <c r="AM51" s="5">
        <v>383927.1230522367</v>
      </c>
      <c r="AN51" s="6">
        <f>AL51-AM51</f>
      </c>
    </row>
    <row r="52" spans="1:40" x14ac:dyDescent="0.25">
      <c r="A52">
        <v>2047</v>
      </c>
      <c r="B52">
        <v>76</v>
      </c>
      <c r="C52" s="14">
        <f>IF(B52&lt;$B$24,"A","E")</f>
      </c>
      <c r="D52" s="4">
        <f>AH51</f>
      </c>
      <c r="E52" s="4">
        <f>AI51</f>
      </c>
      <c r="F52" s="4">
        <f>AJ51</f>
      </c>
      <c r="G52" s="4">
        <f>AK51</f>
      </c>
      <c r="H52" s="15">
        <f>$B$8-$B$9</f>
      </c>
      <c r="I52" s="15">
        <f>$B$10-$B$11</f>
      </c>
      <c r="J52" s="15">
        <f>$B$12-$B$13</f>
      </c>
      <c r="K52" s="4">
        <f>D52*H52</f>
      </c>
      <c r="L52" s="4">
        <f>MAX(0,K52)*$B$15</f>
      </c>
      <c r="M52" s="4">
        <f>D52+K52-L52</f>
      </c>
      <c r="N52" s="4">
        <f>E52*(1+I52)</f>
      </c>
      <c r="O52" s="4">
        <f>F52*(1+J52)</f>
      </c>
      <c r="P52" s="4">
        <f>MAX(0,G52+K52-L52)</f>
      </c>
      <c r="Q52" s="16">
        <f>Q51*(1+$B$16)</f>
      </c>
      <c r="R52" s="4">
        <f>IF(C52="A",$B$17*12*IF($B$18=1,Q52,(1+$B$19)^21),0)</f>
      </c>
      <c r="S52" s="4">
        <f>IF(C52="A",0,$B$20*12*IF($B$23=1,Q52,1))</f>
      </c>
      <c r="T52" s="4">
        <f>IF(AND(NOT(C52="A"),B52&gt;=$B$22),$B$21*12*IF($B$23=1,Q52,1),0)</f>
      </c>
      <c r="U52" s="4">
        <f>MAX(0,S52-T52)</f>
      </c>
      <c r="V52" s="4">
        <f>IF(C52="A",M52+$B$5*R52,MAX(0,M52-U52))</f>
      </c>
      <c r="W52" s="15">
        <f>IF(OR(C52="A",M52&gt;=U52,N52+O52&lt;=0),0,MIN(1,(U52-M52)/(N52+O52)))</f>
      </c>
      <c r="X52" s="4">
        <f>IF(C52="A",N52+$B$6*R52,N52*(1-W52))</f>
      </c>
      <c r="Y52" s="4">
        <f>IF(C52="A",O52+$B$7*R52,O52*(1-W52))</f>
      </c>
      <c r="Z52" s="4">
        <f>IF(C52="A",P52+R52,MAX(0,P52-U52))</f>
      </c>
      <c r="AA52" s="4">
        <f>SUMIFS($B$27:$B$27,$A$27:$A$27,"&gt;"&amp;(B52-1),$A$27:$A$27,"&lt;="&amp;B52)</f>
      </c>
      <c r="AB52" s="4">
        <f>IF(AA52&gt;0,V52+$B$5*AA52,IF(AND(AA52&lt;0,(V52+X52+Y52)&gt;0),V52*(1-MIN(1,ABS(AA52)/(V52+X52+Y52))),V52))</f>
      </c>
      <c r="AC52" s="4">
        <f>IF(AA52&gt;0,X52+$B$6*AA52,IF(AND(AA52&lt;0,(V52+X52+Y52)&gt;0),X52*(1-MIN(1,ABS(AA52)/(V52+X52+Y52))),X52))</f>
      </c>
      <c r="AD52" s="4">
        <f>IF(AA52&gt;0,Y52+$B$7*AA52,IF(AND(AA52&lt;0,(V52+X52+Y52)&gt;0),Y52*(1-MIN(1,ABS(AA52)/(V52+X52+Y52))),Y52))</f>
      </c>
      <c r="AE52" s="4">
        <f>IF(AA52&gt;0,Z52+AA52,IF(AA52&lt;0,MAX(0,Z52+AA52),Z52))</f>
      </c>
      <c r="AF52" s="4">
        <f>AB52+AC52+AD52</f>
      </c>
      <c r="AG52" s="4">
        <f>IF(AND(AF52&gt;AE52,AF52&gt;0),(AF52-AE52)*$B$14,0)</f>
      </c>
      <c r="AH52" s="4">
        <f>MAX(0,AB52*IF(AF52&gt;0,(AF52-AG52)/AF52,1))</f>
      </c>
      <c r="AI52" s="4">
        <f>MAX(0,AC52*IF(AF52&gt;0,(AF52-AG52)/AF52,1))</f>
      </c>
      <c r="AJ52" s="4">
        <f>MAX(0,AD52*IF(AF52&gt;0,(AF52-AG52)/AF52,1))</f>
      </c>
      <c r="AK52" s="4">
        <f>IF(AG52&gt;0,AF52-AG52,AE52)</f>
      </c>
      <c r="AL52" s="4">
        <f>AH52+AI52+AJ52</f>
      </c>
      <c r="AM52" s="5">
        <v>359872.7555737726</v>
      </c>
      <c r="AN52" s="6">
        <f>AL52-AM52</f>
      </c>
    </row>
    <row r="53" spans="1:40" x14ac:dyDescent="0.25">
      <c r="A53">
        <v>2048</v>
      </c>
      <c r="B53">
        <v>77</v>
      </c>
      <c r="C53" s="14">
        <f>IF(B53&lt;$B$24,"A","E")</f>
      </c>
      <c r="D53" s="4">
        <f>AH52</f>
      </c>
      <c r="E53" s="4">
        <f>AI52</f>
      </c>
      <c r="F53" s="4">
        <f>AJ52</f>
      </c>
      <c r="G53" s="4">
        <f>AK52</f>
      </c>
      <c r="H53" s="15">
        <f>$B$8-$B$9</f>
      </c>
      <c r="I53" s="15">
        <f>$B$10-$B$11</f>
      </c>
      <c r="J53" s="15">
        <f>$B$12-$B$13</f>
      </c>
      <c r="K53" s="4">
        <f>D53*H53</f>
      </c>
      <c r="L53" s="4">
        <f>MAX(0,K53)*$B$15</f>
      </c>
      <c r="M53" s="4">
        <f>D53+K53-L53</f>
      </c>
      <c r="N53" s="4">
        <f>E53*(1+I53)</f>
      </c>
      <c r="O53" s="4">
        <f>F53*(1+J53)</f>
      </c>
      <c r="P53" s="4">
        <f>MAX(0,G53+K53-L53)</f>
      </c>
      <c r="Q53" s="16">
        <f>Q52*(1+$B$16)</f>
      </c>
      <c r="R53" s="4">
        <f>IF(C53="A",$B$17*12*IF($B$18=1,Q53,(1+$B$19)^22),0)</f>
      </c>
      <c r="S53" s="4">
        <f>IF(C53="A",0,$B$20*12*IF($B$23=1,Q53,1))</f>
      </c>
      <c r="T53" s="4">
        <f>IF(AND(NOT(C53="A"),B53&gt;=$B$22),$B$21*12*IF($B$23=1,Q53,1),0)</f>
      </c>
      <c r="U53" s="4">
        <f>MAX(0,S53-T53)</f>
      </c>
      <c r="V53" s="4">
        <f>IF(C53="A",M53+$B$5*R53,MAX(0,M53-U53))</f>
      </c>
      <c r="W53" s="15">
        <f>IF(OR(C53="A",M53&gt;=U53,N53+O53&lt;=0),0,MIN(1,(U53-M53)/(N53+O53)))</f>
      </c>
      <c r="X53" s="4">
        <f>IF(C53="A",N53+$B$6*R53,N53*(1-W53))</f>
      </c>
      <c r="Y53" s="4">
        <f>IF(C53="A",O53+$B$7*R53,O53*(1-W53))</f>
      </c>
      <c r="Z53" s="4">
        <f>IF(C53="A",P53+R53,MAX(0,P53-U53))</f>
      </c>
      <c r="AA53" s="4">
        <f>SUMIFS($B$27:$B$27,$A$27:$A$27,"&gt;"&amp;(B53-1),$A$27:$A$27,"&lt;="&amp;B53)</f>
      </c>
      <c r="AB53" s="4">
        <f>IF(AA53&gt;0,V53+$B$5*AA53,IF(AND(AA53&lt;0,(V53+X53+Y53)&gt;0),V53*(1-MIN(1,ABS(AA53)/(V53+X53+Y53))),V53))</f>
      </c>
      <c r="AC53" s="4">
        <f>IF(AA53&gt;0,X53+$B$6*AA53,IF(AND(AA53&lt;0,(V53+X53+Y53)&gt;0),X53*(1-MIN(1,ABS(AA53)/(V53+X53+Y53))),X53))</f>
      </c>
      <c r="AD53" s="4">
        <f>IF(AA53&gt;0,Y53+$B$7*AA53,IF(AND(AA53&lt;0,(V53+X53+Y53)&gt;0),Y53*(1-MIN(1,ABS(AA53)/(V53+X53+Y53))),Y53))</f>
      </c>
      <c r="AE53" s="4">
        <f>IF(AA53&gt;0,Z53+AA53,IF(AA53&lt;0,MAX(0,Z53+AA53),Z53))</f>
      </c>
      <c r="AF53" s="4">
        <f>AB53+AC53+AD53</f>
      </c>
      <c r="AG53" s="4">
        <f>IF(AND(AF53&gt;AE53,AF53&gt;0),(AF53-AE53)*$B$14,0)</f>
      </c>
      <c r="AH53" s="4">
        <f>MAX(0,AB53*IF(AF53&gt;0,(AF53-AG53)/AF53,1))</f>
      </c>
      <c r="AI53" s="4">
        <f>MAX(0,AC53*IF(AF53&gt;0,(AF53-AG53)/AF53,1))</f>
      </c>
      <c r="AJ53" s="4">
        <f>MAX(0,AD53*IF(AF53&gt;0,(AF53-AG53)/AF53,1))</f>
      </c>
      <c r="AK53" s="4">
        <f>IF(AG53&gt;0,AF53-AG53,AE53)</f>
      </c>
      <c r="AL53" s="4">
        <f>AH53+AI53+AJ53</f>
      </c>
      <c r="AM53" s="5">
        <v>334101.4301608702</v>
      </c>
      <c r="AN53" s="6">
        <f>AL53-AM53</f>
      </c>
    </row>
    <row r="54" spans="1:40" x14ac:dyDescent="0.25">
      <c r="A54">
        <v>2049</v>
      </c>
      <c r="B54">
        <v>78</v>
      </c>
      <c r="C54" s="14">
        <f>IF(B54&lt;$B$24,"A","E")</f>
      </c>
      <c r="D54" s="4">
        <f>AH53</f>
      </c>
      <c r="E54" s="4">
        <f>AI53</f>
      </c>
      <c r="F54" s="4">
        <f>AJ53</f>
      </c>
      <c r="G54" s="4">
        <f>AK53</f>
      </c>
      <c r="H54" s="15">
        <f>$B$8-$B$9</f>
      </c>
      <c r="I54" s="15">
        <f>$B$10-$B$11</f>
      </c>
      <c r="J54" s="15">
        <f>$B$12-$B$13</f>
      </c>
      <c r="K54" s="4">
        <f>D54*H54</f>
      </c>
      <c r="L54" s="4">
        <f>MAX(0,K54)*$B$15</f>
      </c>
      <c r="M54" s="4">
        <f>D54+K54-L54</f>
      </c>
      <c r="N54" s="4">
        <f>E54*(1+I54)</f>
      </c>
      <c r="O54" s="4">
        <f>F54*(1+J54)</f>
      </c>
      <c r="P54" s="4">
        <f>MAX(0,G54+K54-L54)</f>
      </c>
      <c r="Q54" s="16">
        <f>Q53*(1+$B$16)</f>
      </c>
      <c r="R54" s="4">
        <f>IF(C54="A",$B$17*12*IF($B$18=1,Q54,(1+$B$19)^23),0)</f>
      </c>
      <c r="S54" s="4">
        <f>IF(C54="A",0,$B$20*12*IF($B$23=1,Q54,1))</f>
      </c>
      <c r="T54" s="4">
        <f>IF(AND(NOT(C54="A"),B54&gt;=$B$22),$B$21*12*IF($B$23=1,Q54,1),0)</f>
      </c>
      <c r="U54" s="4">
        <f>MAX(0,S54-T54)</f>
      </c>
      <c r="V54" s="4">
        <f>IF(C54="A",M54+$B$5*R54,MAX(0,M54-U54))</f>
      </c>
      <c r="W54" s="15">
        <f>IF(OR(C54="A",M54&gt;=U54,N54+O54&lt;=0),0,MIN(1,(U54-M54)/(N54+O54)))</f>
      </c>
      <c r="X54" s="4">
        <f>IF(C54="A",N54+$B$6*R54,N54*(1-W54))</f>
      </c>
      <c r="Y54" s="4">
        <f>IF(C54="A",O54+$B$7*R54,O54*(1-W54))</f>
      </c>
      <c r="Z54" s="4">
        <f>IF(C54="A",P54+R54,MAX(0,P54-U54))</f>
      </c>
      <c r="AA54" s="4">
        <f>SUMIFS($B$27:$B$27,$A$27:$A$27,"&gt;"&amp;(B54-1),$A$27:$A$27,"&lt;="&amp;B54)</f>
      </c>
      <c r="AB54" s="4">
        <f>IF(AA54&gt;0,V54+$B$5*AA54,IF(AND(AA54&lt;0,(V54+X54+Y54)&gt;0),V54*(1-MIN(1,ABS(AA54)/(V54+X54+Y54))),V54))</f>
      </c>
      <c r="AC54" s="4">
        <f>IF(AA54&gt;0,X54+$B$6*AA54,IF(AND(AA54&lt;0,(V54+X54+Y54)&gt;0),X54*(1-MIN(1,ABS(AA54)/(V54+X54+Y54))),X54))</f>
      </c>
      <c r="AD54" s="4">
        <f>IF(AA54&gt;0,Y54+$B$7*AA54,IF(AND(AA54&lt;0,(V54+X54+Y54)&gt;0),Y54*(1-MIN(1,ABS(AA54)/(V54+X54+Y54))),Y54))</f>
      </c>
      <c r="AE54" s="4">
        <f>IF(AA54&gt;0,Z54+AA54,IF(AA54&lt;0,MAX(0,Z54+AA54),Z54))</f>
      </c>
      <c r="AF54" s="4">
        <f>AB54+AC54+AD54</f>
      </c>
      <c r="AG54" s="4">
        <f>IF(AND(AF54&gt;AE54,AF54&gt;0),(AF54-AE54)*$B$14,0)</f>
      </c>
      <c r="AH54" s="4">
        <f>MAX(0,AB54*IF(AF54&gt;0,(AF54-AG54)/AF54,1))</f>
      </c>
      <c r="AI54" s="4">
        <f>MAX(0,AC54*IF(AF54&gt;0,(AF54-AG54)/AF54,1))</f>
      </c>
      <c r="AJ54" s="4">
        <f>MAX(0,AD54*IF(AF54&gt;0,(AF54-AG54)/AF54,1))</f>
      </c>
      <c r="AK54" s="4">
        <f>IF(AG54&gt;0,AF54-AG54,AE54)</f>
      </c>
      <c r="AL54" s="4">
        <f>AH54+AI54+AJ54</f>
      </c>
      <c r="AM54" s="5">
        <v>306525.7719035954</v>
      </c>
      <c r="AN54" s="6">
        <f>AL54-AM54</f>
      </c>
    </row>
    <row r="55" spans="1:40" x14ac:dyDescent="0.25">
      <c r="A55">
        <v>2050</v>
      </c>
      <c r="B55">
        <v>79</v>
      </c>
      <c r="C55" s="14">
        <f>IF(B55&lt;$B$24,"A","E")</f>
      </c>
      <c r="D55" s="4">
        <f>AH54</f>
      </c>
      <c r="E55" s="4">
        <f>AI54</f>
      </c>
      <c r="F55" s="4">
        <f>AJ54</f>
      </c>
      <c r="G55" s="4">
        <f>AK54</f>
      </c>
      <c r="H55" s="15">
        <f>$B$8-$B$9</f>
      </c>
      <c r="I55" s="15">
        <f>$B$10-$B$11</f>
      </c>
      <c r="J55" s="15">
        <f>$B$12-$B$13</f>
      </c>
      <c r="K55" s="4">
        <f>D55*H55</f>
      </c>
      <c r="L55" s="4">
        <f>MAX(0,K55)*$B$15</f>
      </c>
      <c r="M55" s="4">
        <f>D55+K55-L55</f>
      </c>
      <c r="N55" s="4">
        <f>E55*(1+I55)</f>
      </c>
      <c r="O55" s="4">
        <f>F55*(1+J55)</f>
      </c>
      <c r="P55" s="4">
        <f>MAX(0,G55+K55-L55)</f>
      </c>
      <c r="Q55" s="16">
        <f>Q54*(1+$B$16)</f>
      </c>
      <c r="R55" s="4">
        <f>IF(C55="A",$B$17*12*IF($B$18=1,Q55,(1+$B$19)^24),0)</f>
      </c>
      <c r="S55" s="4">
        <f>IF(C55="A",0,$B$20*12*IF($B$23=1,Q55,1))</f>
      </c>
      <c r="T55" s="4">
        <f>IF(AND(NOT(C55="A"),B55&gt;=$B$22),$B$21*12*IF($B$23=1,Q55,1),0)</f>
      </c>
      <c r="U55" s="4">
        <f>MAX(0,S55-T55)</f>
      </c>
      <c r="V55" s="4">
        <f>IF(C55="A",M55+$B$5*R55,MAX(0,M55-U55))</f>
      </c>
      <c r="W55" s="15">
        <f>IF(OR(C55="A",M55&gt;=U55,N55+O55&lt;=0),0,MIN(1,(U55-M55)/(N55+O55)))</f>
      </c>
      <c r="X55" s="4">
        <f>IF(C55="A",N55+$B$6*R55,N55*(1-W55))</f>
      </c>
      <c r="Y55" s="4">
        <f>IF(C55="A",O55+$B$7*R55,O55*(1-W55))</f>
      </c>
      <c r="Z55" s="4">
        <f>IF(C55="A",P55+R55,MAX(0,P55-U55))</f>
      </c>
      <c r="AA55" s="4">
        <f>SUMIFS($B$27:$B$27,$A$27:$A$27,"&gt;"&amp;(B55-1),$A$27:$A$27,"&lt;="&amp;B55)</f>
      </c>
      <c r="AB55" s="4">
        <f>IF(AA55&gt;0,V55+$B$5*AA55,IF(AND(AA55&lt;0,(V55+X55+Y55)&gt;0),V55*(1-MIN(1,ABS(AA55)/(V55+X55+Y55))),V55))</f>
      </c>
      <c r="AC55" s="4">
        <f>IF(AA55&gt;0,X55+$B$6*AA55,IF(AND(AA55&lt;0,(V55+X55+Y55)&gt;0),X55*(1-MIN(1,ABS(AA55)/(V55+X55+Y55))),X55))</f>
      </c>
      <c r="AD55" s="4">
        <f>IF(AA55&gt;0,Y55+$B$7*AA55,IF(AND(AA55&lt;0,(V55+X55+Y55)&gt;0),Y55*(1-MIN(1,ABS(AA55)/(V55+X55+Y55))),Y55))</f>
      </c>
      <c r="AE55" s="4">
        <f>IF(AA55&gt;0,Z55+AA55,IF(AA55&lt;0,MAX(0,Z55+AA55),Z55))</f>
      </c>
      <c r="AF55" s="4">
        <f>AB55+AC55+AD55</f>
      </c>
      <c r="AG55" s="4">
        <f>IF(AND(AF55&gt;AE55,AF55&gt;0),(AF55-AE55)*$B$14,0)</f>
      </c>
      <c r="AH55" s="4">
        <f>MAX(0,AB55*IF(AF55&gt;0,(AF55-AG55)/AF55,1))</f>
      </c>
      <c r="AI55" s="4">
        <f>MAX(0,AC55*IF(AF55&gt;0,(AF55-AG55)/AF55,1))</f>
      </c>
      <c r="AJ55" s="4">
        <f>MAX(0,AD55*IF(AF55&gt;0,(AF55-AG55)/AF55,1))</f>
      </c>
      <c r="AK55" s="4">
        <f>IF(AG55&gt;0,AF55-AG55,AE55)</f>
      </c>
      <c r="AL55" s="4">
        <f>AH55+AI55+AJ55</f>
      </c>
      <c r="AM55" s="5">
        <v>277054.3815512325</v>
      </c>
      <c r="AN55" s="6">
        <f>AL55-AM55</f>
      </c>
    </row>
    <row r="56" spans="1:40" x14ac:dyDescent="0.25">
      <c r="A56">
        <v>2051</v>
      </c>
      <c r="B56">
        <v>80</v>
      </c>
      <c r="C56" s="14">
        <f>IF(B56&lt;$B$24,"A","E")</f>
      </c>
      <c r="D56" s="4">
        <f>AH55</f>
      </c>
      <c r="E56" s="4">
        <f>AI55</f>
      </c>
      <c r="F56" s="4">
        <f>AJ55</f>
      </c>
      <c r="G56" s="4">
        <f>AK55</f>
      </c>
      <c r="H56" s="15">
        <f>$B$8-$B$9</f>
      </c>
      <c r="I56" s="15">
        <f>$B$10-$B$11</f>
      </c>
      <c r="J56" s="15">
        <f>$B$12-$B$13</f>
      </c>
      <c r="K56" s="4">
        <f>D56*H56</f>
      </c>
      <c r="L56" s="4">
        <f>MAX(0,K56)*$B$15</f>
      </c>
      <c r="M56" s="4">
        <f>D56+K56-L56</f>
      </c>
      <c r="N56" s="4">
        <f>E56*(1+I56)</f>
      </c>
      <c r="O56" s="4">
        <f>F56*(1+J56)</f>
      </c>
      <c r="P56" s="4">
        <f>MAX(0,G56+K56-L56)</f>
      </c>
      <c r="Q56" s="16">
        <f>Q55*(1+$B$16)</f>
      </c>
      <c r="R56" s="4">
        <f>IF(C56="A",$B$17*12*IF($B$18=1,Q56,(1+$B$19)^25),0)</f>
      </c>
      <c r="S56" s="4">
        <f>IF(C56="A",0,$B$20*12*IF($B$23=1,Q56,1))</f>
      </c>
      <c r="T56" s="4">
        <f>IF(AND(NOT(C56="A"),B56&gt;=$B$22),$B$21*12*IF($B$23=1,Q56,1),0)</f>
      </c>
      <c r="U56" s="4">
        <f>MAX(0,S56-T56)</f>
      </c>
      <c r="V56" s="4">
        <f>IF(C56="A",M56+$B$5*R56,MAX(0,M56-U56))</f>
      </c>
      <c r="W56" s="15">
        <f>IF(OR(C56="A",M56&gt;=U56,N56+O56&lt;=0),0,MIN(1,(U56-M56)/(N56+O56)))</f>
      </c>
      <c r="X56" s="4">
        <f>IF(C56="A",N56+$B$6*R56,N56*(1-W56))</f>
      </c>
      <c r="Y56" s="4">
        <f>IF(C56="A",O56+$B$7*R56,O56*(1-W56))</f>
      </c>
      <c r="Z56" s="4">
        <f>IF(C56="A",P56+R56,MAX(0,P56-U56))</f>
      </c>
      <c r="AA56" s="4">
        <f>SUMIFS($B$27:$B$27,$A$27:$A$27,"&gt;"&amp;(B56-1),$A$27:$A$27,"&lt;="&amp;B56)</f>
      </c>
      <c r="AB56" s="4">
        <f>IF(AA56&gt;0,V56+$B$5*AA56,IF(AND(AA56&lt;0,(V56+X56+Y56)&gt;0),V56*(1-MIN(1,ABS(AA56)/(V56+X56+Y56))),V56))</f>
      </c>
      <c r="AC56" s="4">
        <f>IF(AA56&gt;0,X56+$B$6*AA56,IF(AND(AA56&lt;0,(V56+X56+Y56)&gt;0),X56*(1-MIN(1,ABS(AA56)/(V56+X56+Y56))),X56))</f>
      </c>
      <c r="AD56" s="4">
        <f>IF(AA56&gt;0,Y56+$B$7*AA56,IF(AND(AA56&lt;0,(V56+X56+Y56)&gt;0),Y56*(1-MIN(1,ABS(AA56)/(V56+X56+Y56))),Y56))</f>
      </c>
      <c r="AE56" s="4">
        <f>IF(AA56&gt;0,Z56+AA56,IF(AA56&lt;0,MAX(0,Z56+AA56),Z56))</f>
      </c>
      <c r="AF56" s="4">
        <f>AB56+AC56+AD56</f>
      </c>
      <c r="AG56" s="4">
        <f>IF(AND(AF56&gt;AE56,AF56&gt;0),(AF56-AE56)*$B$14,0)</f>
      </c>
      <c r="AH56" s="4">
        <f>MAX(0,AB56*IF(AF56&gt;0,(AF56-AG56)/AF56,1))</f>
      </c>
      <c r="AI56" s="4">
        <f>MAX(0,AC56*IF(AF56&gt;0,(AF56-AG56)/AF56,1))</f>
      </c>
      <c r="AJ56" s="4">
        <f>MAX(0,AD56*IF(AF56&gt;0,(AF56-AG56)/AF56,1))</f>
      </c>
      <c r="AK56" s="4">
        <f>IF(AG56&gt;0,AF56-AG56,AE56)</f>
      </c>
      <c r="AL56" s="4">
        <f>AH56+AI56+AJ56</f>
      </c>
      <c r="AM56" s="5">
        <v>245591.6607053005</v>
      </c>
      <c r="AN56" s="6">
        <f>AL56-AM56</f>
      </c>
    </row>
    <row r="57" spans="1:40" x14ac:dyDescent="0.25">
      <c r="A57">
        <v>2052</v>
      </c>
      <c r="B57">
        <v>81</v>
      </c>
      <c r="C57" s="14">
        <f>IF(B57&lt;$B$24,"A","E")</f>
      </c>
      <c r="D57" s="4">
        <f>AH56</f>
      </c>
      <c r="E57" s="4">
        <f>AI56</f>
      </c>
      <c r="F57" s="4">
        <f>AJ56</f>
      </c>
      <c r="G57" s="4">
        <f>AK56</f>
      </c>
      <c r="H57" s="15">
        <f>$B$8-$B$9</f>
      </c>
      <c r="I57" s="15">
        <f>$B$10-$B$11</f>
      </c>
      <c r="J57" s="15">
        <f>$B$12-$B$13</f>
      </c>
      <c r="K57" s="4">
        <f>D57*H57</f>
      </c>
      <c r="L57" s="4">
        <f>MAX(0,K57)*$B$15</f>
      </c>
      <c r="M57" s="4">
        <f>D57+K57-L57</f>
      </c>
      <c r="N57" s="4">
        <f>E57*(1+I57)</f>
      </c>
      <c r="O57" s="4">
        <f>F57*(1+J57)</f>
      </c>
      <c r="P57" s="4">
        <f>MAX(0,G57+K57-L57)</f>
      </c>
      <c r="Q57" s="16">
        <f>Q56*(1+$B$16)</f>
      </c>
      <c r="R57" s="4">
        <f>IF(C57="A",$B$17*12*IF($B$18=1,Q57,(1+$B$19)^26),0)</f>
      </c>
      <c r="S57" s="4">
        <f>IF(C57="A",0,$B$20*12*IF($B$23=1,Q57,1))</f>
      </c>
      <c r="T57" s="4">
        <f>IF(AND(NOT(C57="A"),B57&gt;=$B$22),$B$21*12*IF($B$23=1,Q57,1),0)</f>
      </c>
      <c r="U57" s="4">
        <f>MAX(0,S57-T57)</f>
      </c>
      <c r="V57" s="4">
        <f>IF(C57="A",M57+$B$5*R57,MAX(0,M57-U57))</f>
      </c>
      <c r="W57" s="15">
        <f>IF(OR(C57="A",M57&gt;=U57,N57+O57&lt;=0),0,MIN(1,(U57-M57)/(N57+O57)))</f>
      </c>
      <c r="X57" s="4">
        <f>IF(C57="A",N57+$B$6*R57,N57*(1-W57))</f>
      </c>
      <c r="Y57" s="4">
        <f>IF(C57="A",O57+$B$7*R57,O57*(1-W57))</f>
      </c>
      <c r="Z57" s="4">
        <f>IF(C57="A",P57+R57,MAX(0,P57-U57))</f>
      </c>
      <c r="AA57" s="4">
        <f>SUMIFS($B$27:$B$27,$A$27:$A$27,"&gt;"&amp;(B57-1),$A$27:$A$27,"&lt;="&amp;B57)</f>
      </c>
      <c r="AB57" s="4">
        <f>IF(AA57&gt;0,V57+$B$5*AA57,IF(AND(AA57&lt;0,(V57+X57+Y57)&gt;0),V57*(1-MIN(1,ABS(AA57)/(V57+X57+Y57))),V57))</f>
      </c>
      <c r="AC57" s="4">
        <f>IF(AA57&gt;0,X57+$B$6*AA57,IF(AND(AA57&lt;0,(V57+X57+Y57)&gt;0),X57*(1-MIN(1,ABS(AA57)/(V57+X57+Y57))),X57))</f>
      </c>
      <c r="AD57" s="4">
        <f>IF(AA57&gt;0,Y57+$B$7*AA57,IF(AND(AA57&lt;0,(V57+X57+Y57)&gt;0),Y57*(1-MIN(1,ABS(AA57)/(V57+X57+Y57))),Y57))</f>
      </c>
      <c r="AE57" s="4">
        <f>IF(AA57&gt;0,Z57+AA57,IF(AA57&lt;0,MAX(0,Z57+AA57),Z57))</f>
      </c>
      <c r="AF57" s="4">
        <f>AB57+AC57+AD57</f>
      </c>
      <c r="AG57" s="4">
        <f>IF(AND(AF57&gt;AE57,AF57&gt;0),(AF57-AE57)*$B$14,0)</f>
      </c>
      <c r="AH57" s="4">
        <f>MAX(0,AB57*IF(AF57&gt;0,(AF57-AG57)/AF57,1))</f>
      </c>
      <c r="AI57" s="4">
        <f>MAX(0,AC57*IF(AF57&gt;0,(AF57-AG57)/AF57,1))</f>
      </c>
      <c r="AJ57" s="4">
        <f>MAX(0,AD57*IF(AF57&gt;0,(AF57-AG57)/AF57,1))</f>
      </c>
      <c r="AK57" s="4">
        <f>IF(AG57&gt;0,AF57-AG57,AE57)</f>
      </c>
      <c r="AL57" s="4">
        <f>AH57+AI57+AJ57</f>
      </c>
      <c r="AM57" s="5">
        <v>212037.62970479793</v>
      </c>
      <c r="AN57" s="6">
        <f>AL57-AM57</f>
      </c>
    </row>
    <row r="58" spans="1:40" x14ac:dyDescent="0.25">
      <c r="A58">
        <v>2053</v>
      </c>
      <c r="B58">
        <v>82</v>
      </c>
      <c r="C58" s="14">
        <f>IF(B58&lt;$B$24,"A","E")</f>
      </c>
      <c r="D58" s="4">
        <f>AH57</f>
      </c>
      <c r="E58" s="4">
        <f>AI57</f>
      </c>
      <c r="F58" s="4">
        <f>AJ57</f>
      </c>
      <c r="G58" s="4">
        <f>AK57</f>
      </c>
      <c r="H58" s="15">
        <f>$B$8-$B$9</f>
      </c>
      <c r="I58" s="15">
        <f>$B$10-$B$11</f>
      </c>
      <c r="J58" s="15">
        <f>$B$12-$B$13</f>
      </c>
      <c r="K58" s="4">
        <f>D58*H58</f>
      </c>
      <c r="L58" s="4">
        <f>MAX(0,K58)*$B$15</f>
      </c>
      <c r="M58" s="4">
        <f>D58+K58-L58</f>
      </c>
      <c r="N58" s="4">
        <f>E58*(1+I58)</f>
      </c>
      <c r="O58" s="4">
        <f>F58*(1+J58)</f>
      </c>
      <c r="P58" s="4">
        <f>MAX(0,G58+K58-L58)</f>
      </c>
      <c r="Q58" s="16">
        <f>Q57*(1+$B$16)</f>
      </c>
      <c r="R58" s="4">
        <f>IF(C58="A",$B$17*12*IF($B$18=1,Q58,(1+$B$19)^27),0)</f>
      </c>
      <c r="S58" s="4">
        <f>IF(C58="A",0,$B$20*12*IF($B$23=1,Q58,1))</f>
      </c>
      <c r="T58" s="4">
        <f>IF(AND(NOT(C58="A"),B58&gt;=$B$22),$B$21*12*IF($B$23=1,Q58,1),0)</f>
      </c>
      <c r="U58" s="4">
        <f>MAX(0,S58-T58)</f>
      </c>
      <c r="V58" s="4">
        <f>IF(C58="A",M58+$B$5*R58,MAX(0,M58-U58))</f>
      </c>
      <c r="W58" s="15">
        <f>IF(OR(C58="A",M58&gt;=U58,N58+O58&lt;=0),0,MIN(1,(U58-M58)/(N58+O58)))</f>
      </c>
      <c r="X58" s="4">
        <f>IF(C58="A",N58+$B$6*R58,N58*(1-W58))</f>
      </c>
      <c r="Y58" s="4">
        <f>IF(C58="A",O58+$B$7*R58,O58*(1-W58))</f>
      </c>
      <c r="Z58" s="4">
        <f>IF(C58="A",P58+R58,MAX(0,P58-U58))</f>
      </c>
      <c r="AA58" s="4">
        <f>SUMIFS($B$27:$B$27,$A$27:$A$27,"&gt;"&amp;(B58-1),$A$27:$A$27,"&lt;="&amp;B58)</f>
      </c>
      <c r="AB58" s="4">
        <f>IF(AA58&gt;0,V58+$B$5*AA58,IF(AND(AA58&lt;0,(V58+X58+Y58)&gt;0),V58*(1-MIN(1,ABS(AA58)/(V58+X58+Y58))),V58))</f>
      </c>
      <c r="AC58" s="4">
        <f>IF(AA58&gt;0,X58+$B$6*AA58,IF(AND(AA58&lt;0,(V58+X58+Y58)&gt;0),X58*(1-MIN(1,ABS(AA58)/(V58+X58+Y58))),X58))</f>
      </c>
      <c r="AD58" s="4">
        <f>IF(AA58&gt;0,Y58+$B$7*AA58,IF(AND(AA58&lt;0,(V58+X58+Y58)&gt;0),Y58*(1-MIN(1,ABS(AA58)/(V58+X58+Y58))),Y58))</f>
      </c>
      <c r="AE58" s="4">
        <f>IF(AA58&gt;0,Z58+AA58,IF(AA58&lt;0,MAX(0,Z58+AA58),Z58))</f>
      </c>
      <c r="AF58" s="4">
        <f>AB58+AC58+AD58</f>
      </c>
      <c r="AG58" s="4">
        <f>IF(AND(AF58&gt;AE58,AF58&gt;0),(AF58-AE58)*$B$14,0)</f>
      </c>
      <c r="AH58" s="4">
        <f>MAX(0,AB58*IF(AF58&gt;0,(AF58-AG58)/AF58,1))</f>
      </c>
      <c r="AI58" s="4">
        <f>MAX(0,AC58*IF(AF58&gt;0,(AF58-AG58)/AF58,1))</f>
      </c>
      <c r="AJ58" s="4">
        <f>MAX(0,AD58*IF(AF58&gt;0,(AF58-AG58)/AF58,1))</f>
      </c>
      <c r="AK58" s="4">
        <f>IF(AG58&gt;0,AF58-AG58,AE58)</f>
      </c>
      <c r="AL58" s="4">
        <f>AH58+AI58+AJ58</f>
      </c>
      <c r="AM58" s="5">
        <v>176287.73790352975</v>
      </c>
      <c r="AN58" s="6">
        <f>AL58-AM58</f>
      </c>
    </row>
    <row r="59" spans="1:40" x14ac:dyDescent="0.25">
      <c r="A59">
        <v>2054</v>
      </c>
      <c r="B59">
        <v>83</v>
      </c>
      <c r="C59" s="14">
        <f>IF(B59&lt;$B$24,"A","E")</f>
      </c>
      <c r="D59" s="4">
        <f>AH58</f>
      </c>
      <c r="E59" s="4">
        <f>AI58</f>
      </c>
      <c r="F59" s="4">
        <f>AJ58</f>
      </c>
      <c r="G59" s="4">
        <f>AK58</f>
      </c>
      <c r="H59" s="15">
        <f>$B$8-$B$9</f>
      </c>
      <c r="I59" s="15">
        <f>$B$10-$B$11</f>
      </c>
      <c r="J59" s="15">
        <f>$B$12-$B$13</f>
      </c>
      <c r="K59" s="4">
        <f>D59*H59</f>
      </c>
      <c r="L59" s="4">
        <f>MAX(0,K59)*$B$15</f>
      </c>
      <c r="M59" s="4">
        <f>D59+K59-L59</f>
      </c>
      <c r="N59" s="4">
        <f>E59*(1+I59)</f>
      </c>
      <c r="O59" s="4">
        <f>F59*(1+J59)</f>
      </c>
      <c r="P59" s="4">
        <f>MAX(0,G59+K59-L59)</f>
      </c>
      <c r="Q59" s="16">
        <f>Q58*(1+$B$16)</f>
      </c>
      <c r="R59" s="4">
        <f>IF(C59="A",$B$17*12*IF($B$18=1,Q59,(1+$B$19)^28),0)</f>
      </c>
      <c r="S59" s="4">
        <f>IF(C59="A",0,$B$20*12*IF($B$23=1,Q59,1))</f>
      </c>
      <c r="T59" s="4">
        <f>IF(AND(NOT(C59="A"),B59&gt;=$B$22),$B$21*12*IF($B$23=1,Q59,1),0)</f>
      </c>
      <c r="U59" s="4">
        <f>MAX(0,S59-T59)</f>
      </c>
      <c r="V59" s="4">
        <f>IF(C59="A",M59+$B$5*R59,MAX(0,M59-U59))</f>
      </c>
      <c r="W59" s="15">
        <f>IF(OR(C59="A",M59&gt;=U59,N59+O59&lt;=0),0,MIN(1,(U59-M59)/(N59+O59)))</f>
      </c>
      <c r="X59" s="4">
        <f>IF(C59="A",N59+$B$6*R59,N59*(1-W59))</f>
      </c>
      <c r="Y59" s="4">
        <f>IF(C59="A",O59+$B$7*R59,O59*(1-W59))</f>
      </c>
      <c r="Z59" s="4">
        <f>IF(C59="A",P59+R59,MAX(0,P59-U59))</f>
      </c>
      <c r="AA59" s="4">
        <f>SUMIFS($B$27:$B$27,$A$27:$A$27,"&gt;"&amp;(B59-1),$A$27:$A$27,"&lt;="&amp;B59)</f>
      </c>
      <c r="AB59" s="4">
        <f>IF(AA59&gt;0,V59+$B$5*AA59,IF(AND(AA59&lt;0,(V59+X59+Y59)&gt;0),V59*(1-MIN(1,ABS(AA59)/(V59+X59+Y59))),V59))</f>
      </c>
      <c r="AC59" s="4">
        <f>IF(AA59&gt;0,X59+$B$6*AA59,IF(AND(AA59&lt;0,(V59+X59+Y59)&gt;0),X59*(1-MIN(1,ABS(AA59)/(V59+X59+Y59))),X59))</f>
      </c>
      <c r="AD59" s="4">
        <f>IF(AA59&gt;0,Y59+$B$7*AA59,IF(AND(AA59&lt;0,(V59+X59+Y59)&gt;0),Y59*(1-MIN(1,ABS(AA59)/(V59+X59+Y59))),Y59))</f>
      </c>
      <c r="AE59" s="4">
        <f>IF(AA59&gt;0,Z59+AA59,IF(AA59&lt;0,MAX(0,Z59+AA59),Z59))</f>
      </c>
      <c r="AF59" s="4">
        <f>AB59+AC59+AD59</f>
      </c>
      <c r="AG59" s="4">
        <f>IF(AND(AF59&gt;AE59,AF59&gt;0),(AF59-AE59)*$B$14,0)</f>
      </c>
      <c r="AH59" s="4">
        <f>MAX(0,AB59*IF(AF59&gt;0,(AF59-AG59)/AF59,1))</f>
      </c>
      <c r="AI59" s="4">
        <f>MAX(0,AC59*IF(AF59&gt;0,(AF59-AG59)/AF59,1))</f>
      </c>
      <c r="AJ59" s="4">
        <f>MAX(0,AD59*IF(AF59&gt;0,(AF59-AG59)/AF59,1))</f>
      </c>
      <c r="AK59" s="4">
        <f>IF(AG59&gt;0,AF59-AG59,AE59)</f>
      </c>
      <c r="AL59" s="4">
        <f>AH59+AI59+AJ59</f>
      </c>
      <c r="AM59" s="5">
        <v>138232.66602714016</v>
      </c>
      <c r="AN59" s="6">
        <f>AL59-AM59</f>
      </c>
    </row>
    <row r="60" spans="1:40" x14ac:dyDescent="0.25">
      <c r="A60">
        <v>2055</v>
      </c>
      <c r="B60">
        <v>84</v>
      </c>
      <c r="C60" s="14">
        <f>IF(B60&lt;$B$24,"A","E")</f>
      </c>
      <c r="D60" s="4">
        <f>AH59</f>
      </c>
      <c r="E60" s="4">
        <f>AI59</f>
      </c>
      <c r="F60" s="4">
        <f>AJ59</f>
      </c>
      <c r="G60" s="4">
        <f>AK59</f>
      </c>
      <c r="H60" s="15">
        <f>$B$8-$B$9</f>
      </c>
      <c r="I60" s="15">
        <f>$B$10-$B$11</f>
      </c>
      <c r="J60" s="15">
        <f>$B$12-$B$13</f>
      </c>
      <c r="K60" s="4">
        <f>D60*H60</f>
      </c>
      <c r="L60" s="4">
        <f>MAX(0,K60)*$B$15</f>
      </c>
      <c r="M60" s="4">
        <f>D60+K60-L60</f>
      </c>
      <c r="N60" s="4">
        <f>E60*(1+I60)</f>
      </c>
      <c r="O60" s="4">
        <f>F60*(1+J60)</f>
      </c>
      <c r="P60" s="4">
        <f>MAX(0,G60+K60-L60)</f>
      </c>
      <c r="Q60" s="16">
        <f>Q59*(1+$B$16)</f>
      </c>
      <c r="R60" s="4">
        <f>IF(C60="A",$B$17*12*IF($B$18=1,Q60,(1+$B$19)^29),0)</f>
      </c>
      <c r="S60" s="4">
        <f>IF(C60="A",0,$B$20*12*IF($B$23=1,Q60,1))</f>
      </c>
      <c r="T60" s="4">
        <f>IF(AND(NOT(C60="A"),B60&gt;=$B$22),$B$21*12*IF($B$23=1,Q60,1),0)</f>
      </c>
      <c r="U60" s="4">
        <f>MAX(0,S60-T60)</f>
      </c>
      <c r="V60" s="4">
        <f>IF(C60="A",M60+$B$5*R60,MAX(0,M60-U60))</f>
      </c>
      <c r="W60" s="15">
        <f>IF(OR(C60="A",M60&gt;=U60,N60+O60&lt;=0),0,MIN(1,(U60-M60)/(N60+O60)))</f>
      </c>
      <c r="X60" s="4">
        <f>IF(C60="A",N60+$B$6*R60,N60*(1-W60))</f>
      </c>
      <c r="Y60" s="4">
        <f>IF(C60="A",O60+$B$7*R60,O60*(1-W60))</f>
      </c>
      <c r="Z60" s="4">
        <f>IF(C60="A",P60+R60,MAX(0,P60-U60))</f>
      </c>
      <c r="AA60" s="4">
        <f>SUMIFS($B$27:$B$27,$A$27:$A$27,"&gt;"&amp;(B60-1),$A$27:$A$27,"&lt;="&amp;B60)</f>
      </c>
      <c r="AB60" s="4">
        <f>IF(AA60&gt;0,V60+$B$5*AA60,IF(AND(AA60&lt;0,(V60+X60+Y60)&gt;0),V60*(1-MIN(1,ABS(AA60)/(V60+X60+Y60))),V60))</f>
      </c>
      <c r="AC60" s="4">
        <f>IF(AA60&gt;0,X60+$B$6*AA60,IF(AND(AA60&lt;0,(V60+X60+Y60)&gt;0),X60*(1-MIN(1,ABS(AA60)/(V60+X60+Y60))),X60))</f>
      </c>
      <c r="AD60" s="4">
        <f>IF(AA60&gt;0,Y60+$B$7*AA60,IF(AND(AA60&lt;0,(V60+X60+Y60)&gt;0),Y60*(1-MIN(1,ABS(AA60)/(V60+X60+Y60))),Y60))</f>
      </c>
      <c r="AE60" s="4">
        <f>IF(AA60&gt;0,Z60+AA60,IF(AA60&lt;0,MAX(0,Z60+AA60),Z60))</f>
      </c>
      <c r="AF60" s="4">
        <f>AB60+AC60+AD60</f>
      </c>
      <c r="AG60" s="4">
        <f>IF(AND(AF60&gt;AE60,AF60&gt;0),(AF60-AE60)*$B$14,0)</f>
      </c>
      <c r="AH60" s="4">
        <f>MAX(0,AB60*IF(AF60&gt;0,(AF60-AG60)/AF60,1))</f>
      </c>
      <c r="AI60" s="4">
        <f>MAX(0,AC60*IF(AF60&gt;0,(AF60-AG60)/AF60,1))</f>
      </c>
      <c r="AJ60" s="4">
        <f>MAX(0,AD60*IF(AF60&gt;0,(AF60-AG60)/AF60,1))</f>
      </c>
      <c r="AK60" s="4">
        <f>IF(AG60&gt;0,AF60-AG60,AE60)</f>
      </c>
      <c r="AL60" s="4">
        <f>AH60+AI60+AJ60</f>
      </c>
      <c r="AM60" s="5">
        <v>97758.12028474794</v>
      </c>
      <c r="AN60" s="6">
        <f>AL60-AM60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1"/>
  <sheetViews>
    <sheetView workbookViewId="0">
      <pane xSplit="2" ySplit="31" topLeftCell="C3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2" width="16" customWidth="1"/>
    <col min="3" max="40" width="15" customWidth="1"/>
  </cols>
  <sheetData>
    <row r="1" spans="1:1" x14ac:dyDescent="0.25">
      <c r="A1" s="7" t="s">
        <v>83</v>
      </c>
    </row>
    <row r="2" spans="1:1" x14ac:dyDescent="0.25">
      <c r="A2" s="8" t="s">
        <v>84</v>
      </c>
    </row>
    <row r="4" spans="1:2" x14ac:dyDescent="0.25">
      <c r="A4" t="s">
        <v>22</v>
      </c>
      <c r="B4" s="9">
        <v>250000</v>
      </c>
    </row>
    <row r="5" spans="1:2" x14ac:dyDescent="0.25">
      <c r="A5" t="s">
        <v>23</v>
      </c>
      <c r="B5" s="10">
        <v>0</v>
      </c>
    </row>
    <row r="6" spans="1:2" x14ac:dyDescent="0.25">
      <c r="A6" t="s">
        <v>24</v>
      </c>
      <c r="B6" s="10">
        <v>0</v>
      </c>
    </row>
    <row r="7" spans="1:2" x14ac:dyDescent="0.25">
      <c r="A7" t="s">
        <v>25</v>
      </c>
      <c r="B7" s="10">
        <v>1</v>
      </c>
    </row>
    <row r="8" spans="1:2" x14ac:dyDescent="0.25">
      <c r="A8" t="s">
        <v>26</v>
      </c>
      <c r="B8" s="10">
        <v>0.015</v>
      </c>
    </row>
    <row r="9" spans="1:2" x14ac:dyDescent="0.25">
      <c r="A9" t="s">
        <v>27</v>
      </c>
      <c r="B9" s="10">
        <v>0</v>
      </c>
    </row>
    <row r="10" spans="1:2" x14ac:dyDescent="0.25">
      <c r="A10" t="s">
        <v>28</v>
      </c>
      <c r="B10" s="10">
        <v>0.035</v>
      </c>
    </row>
    <row r="11" spans="1:2" x14ac:dyDescent="0.25">
      <c r="A11" t="s">
        <v>29</v>
      </c>
      <c r="B11" s="10">
        <v>0.006</v>
      </c>
    </row>
    <row r="12" spans="1:2" x14ac:dyDescent="0.25">
      <c r="A12" t="s">
        <v>30</v>
      </c>
      <c r="B12" s="10">
        <v>0.07</v>
      </c>
    </row>
    <row r="13" spans="1:2" x14ac:dyDescent="0.25">
      <c r="A13" t="s">
        <v>31</v>
      </c>
      <c r="B13" s="10">
        <v>0.015</v>
      </c>
    </row>
    <row r="14" spans="1:2" x14ac:dyDescent="0.25">
      <c r="A14" t="s">
        <v>32</v>
      </c>
      <c r="B14" s="10">
        <v>0.275</v>
      </c>
    </row>
    <row r="15" spans="1:2" x14ac:dyDescent="0.25">
      <c r="A15" t="s">
        <v>33</v>
      </c>
      <c r="B15" s="10">
        <v>0.25</v>
      </c>
    </row>
    <row r="16" spans="1:2" x14ac:dyDescent="0.25">
      <c r="A16" t="s">
        <v>34</v>
      </c>
      <c r="B16" s="10">
        <v>0.02</v>
      </c>
    </row>
    <row r="17" spans="1:2" x14ac:dyDescent="0.25">
      <c r="A17" t="s">
        <v>35</v>
      </c>
      <c r="B17" s="9">
        <v>0</v>
      </c>
    </row>
    <row r="18" spans="1:2" x14ac:dyDescent="0.25">
      <c r="A18" t="s">
        <v>36</v>
      </c>
      <c r="B18" s="11">
        <v>1</v>
      </c>
    </row>
    <row r="19" spans="1:2" x14ac:dyDescent="0.25">
      <c r="A19" t="s">
        <v>37</v>
      </c>
      <c r="B19" s="10">
        <v>0.02</v>
      </c>
    </row>
    <row r="20" spans="1:2" x14ac:dyDescent="0.25">
      <c r="A20" t="s">
        <v>38</v>
      </c>
      <c r="B20" s="9">
        <v>1200</v>
      </c>
    </row>
    <row r="21" spans="1:2" x14ac:dyDescent="0.25">
      <c r="A21" t="s">
        <v>39</v>
      </c>
      <c r="B21" s="9">
        <v>0</v>
      </c>
    </row>
    <row r="22" spans="1:2" x14ac:dyDescent="0.25">
      <c r="A22" t="s">
        <v>40</v>
      </c>
      <c r="B22" s="11">
        <v>65</v>
      </c>
    </row>
    <row r="23" spans="1:2" x14ac:dyDescent="0.25">
      <c r="A23" t="s">
        <v>41</v>
      </c>
      <c r="B23" s="11">
        <v>1</v>
      </c>
    </row>
    <row r="24" spans="1:2" x14ac:dyDescent="0.25">
      <c r="A24" t="s">
        <v>42</v>
      </c>
      <c r="B24" s="11">
        <v>65</v>
      </c>
    </row>
    <row r="26" spans="1:1" x14ac:dyDescent="0.25">
      <c r="A26" s="3" t="s">
        <v>43</v>
      </c>
    </row>
    <row r="27" spans="1:2" x14ac:dyDescent="0.25">
      <c r="A27" s="12">
        <v>60</v>
      </c>
      <c r="B27" s="9">
        <v>30000</v>
      </c>
    </row>
    <row r="28" spans="1:2" x14ac:dyDescent="0.25">
      <c r="A28" s="12">
        <v>70</v>
      </c>
      <c r="B28" s="9">
        <v>-50000</v>
      </c>
    </row>
    <row r="31" ht="45" customHeight="1" spans="1:40" x14ac:dyDescent="0.25">
      <c r="A31" s="13" t="s">
        <v>44</v>
      </c>
      <c r="B31" s="13" t="s">
        <v>45</v>
      </c>
      <c r="C31" s="13" t="s">
        <v>46</v>
      </c>
      <c r="D31" s="13" t="s">
        <v>47</v>
      </c>
      <c r="E31" s="13" t="s">
        <v>48</v>
      </c>
      <c r="F31" s="13" t="s">
        <v>49</v>
      </c>
      <c r="G31" s="13" t="s">
        <v>50</v>
      </c>
      <c r="H31" s="13" t="s">
        <v>51</v>
      </c>
      <c r="I31" s="13" t="s">
        <v>52</v>
      </c>
      <c r="J31" s="13" t="s">
        <v>53</v>
      </c>
      <c r="K31" s="13" t="s">
        <v>54</v>
      </c>
      <c r="L31" s="13" t="s">
        <v>33</v>
      </c>
      <c r="M31" s="13" t="s">
        <v>55</v>
      </c>
      <c r="N31" s="13" t="s">
        <v>56</v>
      </c>
      <c r="O31" s="13" t="s">
        <v>57</v>
      </c>
      <c r="P31" s="13" t="s">
        <v>58</v>
      </c>
      <c r="Q31" s="13" t="s">
        <v>59</v>
      </c>
      <c r="R31" s="13" t="s">
        <v>60</v>
      </c>
      <c r="S31" s="13" t="s">
        <v>61</v>
      </c>
      <c r="T31" s="13" t="s">
        <v>62</v>
      </c>
      <c r="U31" s="13" t="s">
        <v>63</v>
      </c>
      <c r="V31" s="13" t="s">
        <v>64</v>
      </c>
      <c r="W31" s="13" t="s">
        <v>65</v>
      </c>
      <c r="X31" s="13" t="s">
        <v>66</v>
      </c>
      <c r="Y31" s="13" t="s">
        <v>67</v>
      </c>
      <c r="Z31" s="13" t="s">
        <v>68</v>
      </c>
      <c r="AA31" s="13" t="s">
        <v>69</v>
      </c>
      <c r="AB31" s="13" t="s">
        <v>70</v>
      </c>
      <c r="AC31" s="13" t="s">
        <v>71</v>
      </c>
      <c r="AD31" s="13" t="s">
        <v>72</v>
      </c>
      <c r="AE31" s="13" t="s">
        <v>73</v>
      </c>
      <c r="AF31" s="13" t="s">
        <v>74</v>
      </c>
      <c r="AG31" s="13" t="s">
        <v>75</v>
      </c>
      <c r="AH31" s="13" t="s">
        <v>76</v>
      </c>
      <c r="AI31" s="13" t="s">
        <v>77</v>
      </c>
      <c r="AJ31" s="13" t="s">
        <v>78</v>
      </c>
      <c r="AK31" s="13" t="s">
        <v>79</v>
      </c>
      <c r="AL31" s="13" t="s">
        <v>80</v>
      </c>
      <c r="AM31" s="13" t="s">
        <v>81</v>
      </c>
      <c r="AN31" s="13" t="s">
        <v>82</v>
      </c>
    </row>
    <row r="32" spans="1:40" x14ac:dyDescent="0.25">
      <c r="A32">
        <v>2026</v>
      </c>
      <c r="B32">
        <v>55</v>
      </c>
      <c r="C32" s="14">
        <f>IF(B32&lt;$B$24,"A","E")</f>
      </c>
      <c r="D32" s="4">
        <f>$B$4*$B$5</f>
      </c>
      <c r="E32" s="4">
        <f>$B$4*$B$6</f>
      </c>
      <c r="F32" s="4">
        <f>$B$4*$B$7</f>
      </c>
      <c r="G32" s="4">
        <f>$B$4</f>
      </c>
      <c r="H32" s="15">
        <f>$B$8-$B$9</f>
      </c>
      <c r="I32" s="15">
        <f>$B$10-$B$11</f>
      </c>
      <c r="J32" s="15">
        <f>$B$12-$B$13</f>
      </c>
      <c r="K32" s="4">
        <f>D32*H32</f>
      </c>
      <c r="L32" s="4">
        <f>MAX(0,K32)*$B$15</f>
      </c>
      <c r="M32" s="4">
        <f>D32+K32-L32</f>
      </c>
      <c r="N32" s="4">
        <f>E32*(1+I32)</f>
      </c>
      <c r="O32" s="4">
        <f>F32*(1+J32)</f>
      </c>
      <c r="P32" s="4">
        <f>MAX(0,G32+K32-L32)</f>
      </c>
      <c r="Q32" s="16">
        <f>1+$B$16</f>
      </c>
      <c r="R32" s="4">
        <f>IF(C32="A",$B$17*12*IF($B$18=1,Q32,(1+$B$19)^0),0)</f>
      </c>
      <c r="S32" s="4">
        <f>IF(C32="A",0,$B$20*12*IF($B$23=1,Q32,1))</f>
      </c>
      <c r="T32" s="4">
        <f>IF(AND(NOT(C32="A"),B32&gt;=$B$22),$B$21*12*IF($B$23=1,Q32,1),0)</f>
      </c>
      <c r="U32" s="4">
        <f>MAX(0,S32-T32)</f>
      </c>
      <c r="V32" s="4">
        <f>IF(C32="A",M32+$B$5*R32,MAX(0,M32-U32))</f>
      </c>
      <c r="W32" s="15">
        <f>IF(OR(C32="A",M32&gt;=U32,N32+O32&lt;=0),0,MIN(1,(U32-M32)/(N32+O32)))</f>
      </c>
      <c r="X32" s="4">
        <f>IF(C32="A",N32+$B$6*R32,N32*(1-W32))</f>
      </c>
      <c r="Y32" s="4">
        <f>IF(C32="A",O32+$B$7*R32,O32*(1-W32))</f>
      </c>
      <c r="Z32" s="4">
        <f>IF(C32="A",P32+R32,MAX(0,P32-U32))</f>
      </c>
      <c r="AA32" s="4">
        <f>SUMIFS($B$27:$B$28,$A$27:$A$28,"&gt;"&amp;(B32-1),$A$27:$A$28,"&lt;="&amp;B32)</f>
      </c>
      <c r="AB32" s="4">
        <f>IF(AA32&gt;0,V32+$B$5*AA32,IF(AND(AA32&lt;0,(V32+X32+Y32)&gt;0),V32*(1-MIN(1,ABS(AA32)/(V32+X32+Y32))),V32))</f>
      </c>
      <c r="AC32" s="4">
        <f>IF(AA32&gt;0,X32+$B$6*AA32,IF(AND(AA32&lt;0,(V32+X32+Y32)&gt;0),X32*(1-MIN(1,ABS(AA32)/(V32+X32+Y32))),X32))</f>
      </c>
      <c r="AD32" s="4">
        <f>IF(AA32&gt;0,Y32+$B$7*AA32,IF(AND(AA32&lt;0,(V32+X32+Y32)&gt;0),Y32*(1-MIN(1,ABS(AA32)/(V32+X32+Y32))),Y32))</f>
      </c>
      <c r="AE32" s="4">
        <f>IF(AA32&gt;0,Z32+AA32,IF(AA32&lt;0,MAX(0,Z32+AA32),Z32))</f>
      </c>
      <c r="AF32" s="4">
        <f>AB32+AC32+AD32</f>
      </c>
      <c r="AG32" s="4">
        <f>IF(AND(AF32&gt;AE32,AF32&gt;0),(AF32-AE32)*$B$14,0)</f>
      </c>
      <c r="AH32" s="4">
        <f>MAX(0,AB32*IF(AF32&gt;0,(AF32-AG32)/AF32,1))</f>
      </c>
      <c r="AI32" s="4">
        <f>MAX(0,AC32*IF(AF32&gt;0,(AF32-AG32)/AF32,1))</f>
      </c>
      <c r="AJ32" s="4">
        <f>MAX(0,AD32*IF(AF32&gt;0,(AF32-AG32)/AF32,1))</f>
      </c>
      <c r="AK32" s="4">
        <f>IF(AG32&gt;0,AF32-AG32,AE32)</f>
      </c>
      <c r="AL32" s="4">
        <f>AH32+AI32+AJ32</f>
      </c>
      <c r="AM32" s="5">
        <v>259968.75</v>
      </c>
      <c r="AN32" s="6">
        <f>AL32-AM32</f>
      </c>
    </row>
    <row r="33" spans="1:40" x14ac:dyDescent="0.25">
      <c r="A33">
        <v>2027</v>
      </c>
      <c r="B33">
        <v>56</v>
      </c>
      <c r="C33" s="14">
        <f>IF(B33&lt;$B$24,"A","E")</f>
      </c>
      <c r="D33" s="4">
        <f>AH32</f>
      </c>
      <c r="E33" s="4">
        <f>AI32</f>
      </c>
      <c r="F33" s="4">
        <f>AJ32</f>
      </c>
      <c r="G33" s="4">
        <f>AK32</f>
      </c>
      <c r="H33" s="15">
        <f>$B$8-$B$9</f>
      </c>
      <c r="I33" s="15">
        <f>$B$10-$B$11</f>
      </c>
      <c r="J33" s="15">
        <f>$B$12-$B$13</f>
      </c>
      <c r="K33" s="4">
        <f>D33*H33</f>
      </c>
      <c r="L33" s="4">
        <f>MAX(0,K33)*$B$15</f>
      </c>
      <c r="M33" s="4">
        <f>D33+K33-L33</f>
      </c>
      <c r="N33" s="4">
        <f>E33*(1+I33)</f>
      </c>
      <c r="O33" s="4">
        <f>F33*(1+J33)</f>
      </c>
      <c r="P33" s="4">
        <f>MAX(0,G33+K33-L33)</f>
      </c>
      <c r="Q33" s="16">
        <f>Q32*(1+$B$16)</f>
      </c>
      <c r="R33" s="4">
        <f>IF(C33="A",$B$17*12*IF($B$18=1,Q33,(1+$B$19)^1),0)</f>
      </c>
      <c r="S33" s="4">
        <f>IF(C33="A",0,$B$20*12*IF($B$23=1,Q33,1))</f>
      </c>
      <c r="T33" s="4">
        <f>IF(AND(NOT(C33="A"),B33&gt;=$B$22),$B$21*12*IF($B$23=1,Q33,1),0)</f>
      </c>
      <c r="U33" s="4">
        <f>MAX(0,S33-T33)</f>
      </c>
      <c r="V33" s="4">
        <f>IF(C33="A",M33+$B$5*R33,MAX(0,M33-U33))</f>
      </c>
      <c r="W33" s="15">
        <f>IF(OR(C33="A",M33&gt;=U33,N33+O33&lt;=0),0,MIN(1,(U33-M33)/(N33+O33)))</f>
      </c>
      <c r="X33" s="4">
        <f>IF(C33="A",N33+$B$6*R33,N33*(1-W33))</f>
      </c>
      <c r="Y33" s="4">
        <f>IF(C33="A",O33+$B$7*R33,O33*(1-W33))</f>
      </c>
      <c r="Z33" s="4">
        <f>IF(C33="A",P33+R33,MAX(0,P33-U33))</f>
      </c>
      <c r="AA33" s="4">
        <f>SUMIFS($B$27:$B$28,$A$27:$A$28,"&gt;"&amp;(B33-1),$A$27:$A$28,"&lt;="&amp;B33)</f>
      </c>
      <c r="AB33" s="4">
        <f>IF(AA33&gt;0,V33+$B$5*AA33,IF(AND(AA33&lt;0,(V33+X33+Y33)&gt;0),V33*(1-MIN(1,ABS(AA33)/(V33+X33+Y33))),V33))</f>
      </c>
      <c r="AC33" s="4">
        <f>IF(AA33&gt;0,X33+$B$6*AA33,IF(AND(AA33&lt;0,(V33+X33+Y33)&gt;0),X33*(1-MIN(1,ABS(AA33)/(V33+X33+Y33))),X33))</f>
      </c>
      <c r="AD33" s="4">
        <f>IF(AA33&gt;0,Y33+$B$7*AA33,IF(AND(AA33&lt;0,(V33+X33+Y33)&gt;0),Y33*(1-MIN(1,ABS(AA33)/(V33+X33+Y33))),Y33))</f>
      </c>
      <c r="AE33" s="4">
        <f>IF(AA33&gt;0,Z33+AA33,IF(AA33&lt;0,MAX(0,Z33+AA33),Z33))</f>
      </c>
      <c r="AF33" s="4">
        <f>AB33+AC33+AD33</f>
      </c>
      <c r="AG33" s="4">
        <f>IF(AND(AF33&gt;AE33,AF33&gt;0),(AF33-AE33)*$B$14,0)</f>
      </c>
      <c r="AH33" s="4">
        <f>MAX(0,AB33*IF(AF33&gt;0,(AF33-AG33)/AF33,1))</f>
      </c>
      <c r="AI33" s="4">
        <f>MAX(0,AC33*IF(AF33&gt;0,(AF33-AG33)/AF33,1))</f>
      </c>
      <c r="AJ33" s="4">
        <f>MAX(0,AD33*IF(AF33&gt;0,(AF33-AG33)/AF33,1))</f>
      </c>
      <c r="AK33" s="4">
        <f>IF(AG33&gt;0,AF33-AG33,AE33)</f>
      </c>
      <c r="AL33" s="4">
        <f>AH33+AI33+AJ33</f>
      </c>
      <c r="AM33" s="5">
        <v>270335.00390625</v>
      </c>
      <c r="AN33" s="6">
        <f>AL33-AM33</f>
      </c>
    </row>
    <row r="34" spans="1:40" x14ac:dyDescent="0.25">
      <c r="A34">
        <v>2028</v>
      </c>
      <c r="B34">
        <v>57</v>
      </c>
      <c r="C34" s="14">
        <f>IF(B34&lt;$B$24,"A","E")</f>
      </c>
      <c r="D34" s="4">
        <f>AH33</f>
      </c>
      <c r="E34" s="4">
        <f>AI33</f>
      </c>
      <c r="F34" s="4">
        <f>AJ33</f>
      </c>
      <c r="G34" s="4">
        <f>AK33</f>
      </c>
      <c r="H34" s="15">
        <f>$B$8-$B$9</f>
      </c>
      <c r="I34" s="15">
        <f>$B$10-$B$11</f>
      </c>
      <c r="J34" s="15">
        <f>$B$12-$B$13</f>
      </c>
      <c r="K34" s="4">
        <f>D34*H34</f>
      </c>
      <c r="L34" s="4">
        <f>MAX(0,K34)*$B$15</f>
      </c>
      <c r="M34" s="4">
        <f>D34+K34-L34</f>
      </c>
      <c r="N34" s="4">
        <f>E34*(1+I34)</f>
      </c>
      <c r="O34" s="4">
        <f>F34*(1+J34)</f>
      </c>
      <c r="P34" s="4">
        <f>MAX(0,G34+K34-L34)</f>
      </c>
      <c r="Q34" s="16">
        <f>Q33*(1+$B$16)</f>
      </c>
      <c r="R34" s="4">
        <f>IF(C34="A",$B$17*12*IF($B$18=1,Q34,(1+$B$19)^2),0)</f>
      </c>
      <c r="S34" s="4">
        <f>IF(C34="A",0,$B$20*12*IF($B$23=1,Q34,1))</f>
      </c>
      <c r="T34" s="4">
        <f>IF(AND(NOT(C34="A"),B34&gt;=$B$22),$B$21*12*IF($B$23=1,Q34,1),0)</f>
      </c>
      <c r="U34" s="4">
        <f>MAX(0,S34-T34)</f>
      </c>
      <c r="V34" s="4">
        <f>IF(C34="A",M34+$B$5*R34,MAX(0,M34-U34))</f>
      </c>
      <c r="W34" s="15">
        <f>IF(OR(C34="A",M34&gt;=U34,N34+O34&lt;=0),0,MIN(1,(U34-M34)/(N34+O34)))</f>
      </c>
      <c r="X34" s="4">
        <f>IF(C34="A",N34+$B$6*R34,N34*(1-W34))</f>
      </c>
      <c r="Y34" s="4">
        <f>IF(C34="A",O34+$B$7*R34,O34*(1-W34))</f>
      </c>
      <c r="Z34" s="4">
        <f>IF(C34="A",P34+R34,MAX(0,P34-U34))</f>
      </c>
      <c r="AA34" s="4">
        <f>SUMIFS($B$27:$B$28,$A$27:$A$28,"&gt;"&amp;(B34-1),$A$27:$A$28,"&lt;="&amp;B34)</f>
      </c>
      <c r="AB34" s="4">
        <f>IF(AA34&gt;0,V34+$B$5*AA34,IF(AND(AA34&lt;0,(V34+X34+Y34)&gt;0),V34*(1-MIN(1,ABS(AA34)/(V34+X34+Y34))),V34))</f>
      </c>
      <c r="AC34" s="4">
        <f>IF(AA34&gt;0,X34+$B$6*AA34,IF(AND(AA34&lt;0,(V34+X34+Y34)&gt;0),X34*(1-MIN(1,ABS(AA34)/(V34+X34+Y34))),X34))</f>
      </c>
      <c r="AD34" s="4">
        <f>IF(AA34&gt;0,Y34+$B$7*AA34,IF(AND(AA34&lt;0,(V34+X34+Y34)&gt;0),Y34*(1-MIN(1,ABS(AA34)/(V34+X34+Y34))),Y34))</f>
      </c>
      <c r="AE34" s="4">
        <f>IF(AA34&gt;0,Z34+AA34,IF(AA34&lt;0,MAX(0,Z34+AA34),Z34))</f>
      </c>
      <c r="AF34" s="4">
        <f>AB34+AC34+AD34</f>
      </c>
      <c r="AG34" s="4">
        <f>IF(AND(AF34&gt;AE34,AF34&gt;0),(AF34-AE34)*$B$14,0)</f>
      </c>
      <c r="AH34" s="4">
        <f>MAX(0,AB34*IF(AF34&gt;0,(AF34-AG34)/AF34,1))</f>
      </c>
      <c r="AI34" s="4">
        <f>MAX(0,AC34*IF(AF34&gt;0,(AF34-AG34)/AF34,1))</f>
      </c>
      <c r="AJ34" s="4">
        <f>MAX(0,AD34*IF(AF34&gt;0,(AF34-AG34)/AF34,1))</f>
      </c>
      <c r="AK34" s="4">
        <f>IF(AG34&gt;0,AF34-AG34,AE34)</f>
      </c>
      <c r="AL34" s="4">
        <f>AH34+AI34+AJ34</f>
      </c>
      <c r="AM34" s="5">
        <v>281114.6121870117</v>
      </c>
      <c r="AN34" s="6">
        <f>AL34-AM34</f>
      </c>
    </row>
    <row r="35" spans="1:40" x14ac:dyDescent="0.25">
      <c r="A35">
        <v>2029</v>
      </c>
      <c r="B35">
        <v>58</v>
      </c>
      <c r="C35" s="14">
        <f>IF(B35&lt;$B$24,"A","E")</f>
      </c>
      <c r="D35" s="4">
        <f>AH34</f>
      </c>
      <c r="E35" s="4">
        <f>AI34</f>
      </c>
      <c r="F35" s="4">
        <f>AJ34</f>
      </c>
      <c r="G35" s="4">
        <f>AK34</f>
      </c>
      <c r="H35" s="15">
        <f>$B$8-$B$9</f>
      </c>
      <c r="I35" s="15">
        <f>$B$10-$B$11</f>
      </c>
      <c r="J35" s="15">
        <f>$B$12-$B$13</f>
      </c>
      <c r="K35" s="4">
        <f>D35*H35</f>
      </c>
      <c r="L35" s="4">
        <f>MAX(0,K35)*$B$15</f>
      </c>
      <c r="M35" s="4">
        <f>D35+K35-L35</f>
      </c>
      <c r="N35" s="4">
        <f>E35*(1+I35)</f>
      </c>
      <c r="O35" s="4">
        <f>F35*(1+J35)</f>
      </c>
      <c r="P35" s="4">
        <f>MAX(0,G35+K35-L35)</f>
      </c>
      <c r="Q35" s="16">
        <f>Q34*(1+$B$16)</f>
      </c>
      <c r="R35" s="4">
        <f>IF(C35="A",$B$17*12*IF($B$18=1,Q35,(1+$B$19)^3),0)</f>
      </c>
      <c r="S35" s="4">
        <f>IF(C35="A",0,$B$20*12*IF($B$23=1,Q35,1))</f>
      </c>
      <c r="T35" s="4">
        <f>IF(AND(NOT(C35="A"),B35&gt;=$B$22),$B$21*12*IF($B$23=1,Q35,1),0)</f>
      </c>
      <c r="U35" s="4">
        <f>MAX(0,S35-T35)</f>
      </c>
      <c r="V35" s="4">
        <f>IF(C35="A",M35+$B$5*R35,MAX(0,M35-U35))</f>
      </c>
      <c r="W35" s="15">
        <f>IF(OR(C35="A",M35&gt;=U35,N35+O35&lt;=0),0,MIN(1,(U35-M35)/(N35+O35)))</f>
      </c>
      <c r="X35" s="4">
        <f>IF(C35="A",N35+$B$6*R35,N35*(1-W35))</f>
      </c>
      <c r="Y35" s="4">
        <f>IF(C35="A",O35+$B$7*R35,O35*(1-W35))</f>
      </c>
      <c r="Z35" s="4">
        <f>IF(C35="A",P35+R35,MAX(0,P35-U35))</f>
      </c>
      <c r="AA35" s="4">
        <f>SUMIFS($B$27:$B$28,$A$27:$A$28,"&gt;"&amp;(B35-1),$A$27:$A$28,"&lt;="&amp;B35)</f>
      </c>
      <c r="AB35" s="4">
        <f>IF(AA35&gt;0,V35+$B$5*AA35,IF(AND(AA35&lt;0,(V35+X35+Y35)&gt;0),V35*(1-MIN(1,ABS(AA35)/(V35+X35+Y35))),V35))</f>
      </c>
      <c r="AC35" s="4">
        <f>IF(AA35&gt;0,X35+$B$6*AA35,IF(AND(AA35&lt;0,(V35+X35+Y35)&gt;0),X35*(1-MIN(1,ABS(AA35)/(V35+X35+Y35))),X35))</f>
      </c>
      <c r="AD35" s="4">
        <f>IF(AA35&gt;0,Y35+$B$7*AA35,IF(AND(AA35&lt;0,(V35+X35+Y35)&gt;0),Y35*(1-MIN(1,ABS(AA35)/(V35+X35+Y35))),Y35))</f>
      </c>
      <c r="AE35" s="4">
        <f>IF(AA35&gt;0,Z35+AA35,IF(AA35&lt;0,MAX(0,Z35+AA35),Z35))</f>
      </c>
      <c r="AF35" s="4">
        <f>AB35+AC35+AD35</f>
      </c>
      <c r="AG35" s="4">
        <f>IF(AND(AF35&gt;AE35,AF35&gt;0),(AF35-AE35)*$B$14,0)</f>
      </c>
      <c r="AH35" s="4">
        <f>MAX(0,AB35*IF(AF35&gt;0,(AF35-AG35)/AF35,1))</f>
      </c>
      <c r="AI35" s="4">
        <f>MAX(0,AC35*IF(AF35&gt;0,(AF35-AG35)/AF35,1))</f>
      </c>
      <c r="AJ35" s="4">
        <f>MAX(0,AD35*IF(AF35&gt;0,(AF35-AG35)/AF35,1))</f>
      </c>
      <c r="AK35" s="4">
        <f>IF(AG35&gt;0,AF35-AG35,AE35)</f>
      </c>
      <c r="AL35" s="4">
        <f>AH35+AI35+AJ35</f>
      </c>
      <c r="AM35" s="5">
        <v>292324.05734796874</v>
      </c>
      <c r="AN35" s="6">
        <f>AL35-AM35</f>
      </c>
    </row>
    <row r="36" spans="1:40" x14ac:dyDescent="0.25">
      <c r="A36">
        <v>2030</v>
      </c>
      <c r="B36">
        <v>59</v>
      </c>
      <c r="C36" s="14">
        <f>IF(B36&lt;$B$24,"A","E")</f>
      </c>
      <c r="D36" s="4">
        <f>AH35</f>
      </c>
      <c r="E36" s="4">
        <f>AI35</f>
      </c>
      <c r="F36" s="4">
        <f>AJ35</f>
      </c>
      <c r="G36" s="4">
        <f>AK35</f>
      </c>
      <c r="H36" s="15">
        <f>$B$8-$B$9</f>
      </c>
      <c r="I36" s="15">
        <f>$B$10-$B$11</f>
      </c>
      <c r="J36" s="15">
        <f>$B$12-$B$13</f>
      </c>
      <c r="K36" s="4">
        <f>D36*H36</f>
      </c>
      <c r="L36" s="4">
        <f>MAX(0,K36)*$B$15</f>
      </c>
      <c r="M36" s="4">
        <f>D36+K36-L36</f>
      </c>
      <c r="N36" s="4">
        <f>E36*(1+I36)</f>
      </c>
      <c r="O36" s="4">
        <f>F36*(1+J36)</f>
      </c>
      <c r="P36" s="4">
        <f>MAX(0,G36+K36-L36)</f>
      </c>
      <c r="Q36" s="16">
        <f>Q35*(1+$B$16)</f>
      </c>
      <c r="R36" s="4">
        <f>IF(C36="A",$B$17*12*IF($B$18=1,Q36,(1+$B$19)^4),0)</f>
      </c>
      <c r="S36" s="4">
        <f>IF(C36="A",0,$B$20*12*IF($B$23=1,Q36,1))</f>
      </c>
      <c r="T36" s="4">
        <f>IF(AND(NOT(C36="A"),B36&gt;=$B$22),$B$21*12*IF($B$23=1,Q36,1),0)</f>
      </c>
      <c r="U36" s="4">
        <f>MAX(0,S36-T36)</f>
      </c>
      <c r="V36" s="4">
        <f>IF(C36="A",M36+$B$5*R36,MAX(0,M36-U36))</f>
      </c>
      <c r="W36" s="15">
        <f>IF(OR(C36="A",M36&gt;=U36,N36+O36&lt;=0),0,MIN(1,(U36-M36)/(N36+O36)))</f>
      </c>
      <c r="X36" s="4">
        <f>IF(C36="A",N36+$B$6*R36,N36*(1-W36))</f>
      </c>
      <c r="Y36" s="4">
        <f>IF(C36="A",O36+$B$7*R36,O36*(1-W36))</f>
      </c>
      <c r="Z36" s="4">
        <f>IF(C36="A",P36+R36,MAX(0,P36-U36))</f>
      </c>
      <c r="AA36" s="4">
        <f>SUMIFS($B$27:$B$28,$A$27:$A$28,"&gt;"&amp;(B36-1),$A$27:$A$28,"&lt;="&amp;B36)</f>
      </c>
      <c r="AB36" s="4">
        <f>IF(AA36&gt;0,V36+$B$5*AA36,IF(AND(AA36&lt;0,(V36+X36+Y36)&gt;0),V36*(1-MIN(1,ABS(AA36)/(V36+X36+Y36))),V36))</f>
      </c>
      <c r="AC36" s="4">
        <f>IF(AA36&gt;0,X36+$B$6*AA36,IF(AND(AA36&lt;0,(V36+X36+Y36)&gt;0),X36*(1-MIN(1,ABS(AA36)/(V36+X36+Y36))),X36))</f>
      </c>
      <c r="AD36" s="4">
        <f>IF(AA36&gt;0,Y36+$B$7*AA36,IF(AND(AA36&lt;0,(V36+X36+Y36)&gt;0),Y36*(1-MIN(1,ABS(AA36)/(V36+X36+Y36))),Y36))</f>
      </c>
      <c r="AE36" s="4">
        <f>IF(AA36&gt;0,Z36+AA36,IF(AA36&lt;0,MAX(0,Z36+AA36),Z36))</f>
      </c>
      <c r="AF36" s="4">
        <f>AB36+AC36+AD36</f>
      </c>
      <c r="AG36" s="4">
        <f>IF(AND(AF36&gt;AE36,AF36&gt;0),(AF36-AE36)*$B$14,0)</f>
      </c>
      <c r="AH36" s="4">
        <f>MAX(0,AB36*IF(AF36&gt;0,(AF36-AG36)/AF36,1))</f>
      </c>
      <c r="AI36" s="4">
        <f>MAX(0,AC36*IF(AF36&gt;0,(AF36-AG36)/AF36,1))</f>
      </c>
      <c r="AJ36" s="4">
        <f>MAX(0,AD36*IF(AF36&gt;0,(AF36-AG36)/AF36,1))</f>
      </c>
      <c r="AK36" s="4">
        <f>IF(AG36&gt;0,AF36-AG36,AE36)</f>
      </c>
      <c r="AL36" s="4">
        <f>AH36+AI36+AJ36</f>
      </c>
      <c r="AM36" s="5">
        <v>303980.479134719</v>
      </c>
      <c r="AN36" s="6">
        <f>AL36-AM36</f>
      </c>
    </row>
    <row r="37" spans="1:40" x14ac:dyDescent="0.25">
      <c r="A37">
        <v>2031</v>
      </c>
      <c r="B37">
        <v>60</v>
      </c>
      <c r="C37" s="14">
        <f>IF(B37&lt;$B$24,"A","E")</f>
      </c>
      <c r="D37" s="4">
        <f>AH36</f>
      </c>
      <c r="E37" s="4">
        <f>AI36</f>
      </c>
      <c r="F37" s="4">
        <f>AJ36</f>
      </c>
      <c r="G37" s="4">
        <f>AK36</f>
      </c>
      <c r="H37" s="15">
        <f>$B$8-$B$9</f>
      </c>
      <c r="I37" s="15">
        <f>$B$10-$B$11</f>
      </c>
      <c r="J37" s="15">
        <f>$B$12-$B$13</f>
      </c>
      <c r="K37" s="4">
        <f>D37*H37</f>
      </c>
      <c r="L37" s="4">
        <f>MAX(0,K37)*$B$15</f>
      </c>
      <c r="M37" s="4">
        <f>D37+K37-L37</f>
      </c>
      <c r="N37" s="4">
        <f>E37*(1+I37)</f>
      </c>
      <c r="O37" s="4">
        <f>F37*(1+J37)</f>
      </c>
      <c r="P37" s="4">
        <f>MAX(0,G37+K37-L37)</f>
      </c>
      <c r="Q37" s="16">
        <f>Q36*(1+$B$16)</f>
      </c>
      <c r="R37" s="4">
        <f>IF(C37="A",$B$17*12*IF($B$18=1,Q37,(1+$B$19)^5),0)</f>
      </c>
      <c r="S37" s="4">
        <f>IF(C37="A",0,$B$20*12*IF($B$23=1,Q37,1))</f>
      </c>
      <c r="T37" s="4">
        <f>IF(AND(NOT(C37="A"),B37&gt;=$B$22),$B$21*12*IF($B$23=1,Q37,1),0)</f>
      </c>
      <c r="U37" s="4">
        <f>MAX(0,S37-T37)</f>
      </c>
      <c r="V37" s="4">
        <f>IF(C37="A",M37+$B$5*R37,MAX(0,M37-U37))</f>
      </c>
      <c r="W37" s="15">
        <f>IF(OR(C37="A",M37&gt;=U37,N37+O37&lt;=0),0,MIN(1,(U37-M37)/(N37+O37)))</f>
      </c>
      <c r="X37" s="4">
        <f>IF(C37="A",N37+$B$6*R37,N37*(1-W37))</f>
      </c>
      <c r="Y37" s="4">
        <f>IF(C37="A",O37+$B$7*R37,O37*(1-W37))</f>
      </c>
      <c r="Z37" s="4">
        <f>IF(C37="A",P37+R37,MAX(0,P37-U37))</f>
      </c>
      <c r="AA37" s="4">
        <f>SUMIFS($B$27:$B$28,$A$27:$A$28,"&gt;"&amp;(B37-1),$A$27:$A$28,"&lt;="&amp;B37)</f>
      </c>
      <c r="AB37" s="4">
        <f>IF(AA37&gt;0,V37+$B$5*AA37,IF(AND(AA37&lt;0,(V37+X37+Y37)&gt;0),V37*(1-MIN(1,ABS(AA37)/(V37+X37+Y37))),V37))</f>
      </c>
      <c r="AC37" s="4">
        <f>IF(AA37&gt;0,X37+$B$6*AA37,IF(AND(AA37&lt;0,(V37+X37+Y37)&gt;0),X37*(1-MIN(1,ABS(AA37)/(V37+X37+Y37))),X37))</f>
      </c>
      <c r="AD37" s="4">
        <f>IF(AA37&gt;0,Y37+$B$7*AA37,IF(AND(AA37&lt;0,(V37+X37+Y37)&gt;0),Y37*(1-MIN(1,ABS(AA37)/(V37+X37+Y37))),Y37))</f>
      </c>
      <c r="AE37" s="4">
        <f>IF(AA37&gt;0,Z37+AA37,IF(AA37&lt;0,MAX(0,Z37+AA37),Z37))</f>
      </c>
      <c r="AF37" s="4">
        <f>AB37+AC37+AD37</f>
      </c>
      <c r="AG37" s="4">
        <f>IF(AND(AF37&gt;AE37,AF37&gt;0),(AF37-AE37)*$B$14,0)</f>
      </c>
      <c r="AH37" s="4">
        <f>MAX(0,AB37*IF(AF37&gt;0,(AF37-AG37)/AF37,1))</f>
      </c>
      <c r="AI37" s="4">
        <f>MAX(0,AC37*IF(AF37&gt;0,(AF37-AG37)/AF37,1))</f>
      </c>
      <c r="AJ37" s="4">
        <f>MAX(0,AD37*IF(AF37&gt;0,(AF37-AG37)/AF37,1))</f>
      </c>
      <c r="AK37" s="4">
        <f>IF(AG37&gt;0,AF37-AG37,AE37)</f>
      </c>
      <c r="AL37" s="4">
        <f>AH37+AI37+AJ37</f>
      </c>
      <c r="AM37" s="5">
        <v>346101.7007402159</v>
      </c>
      <c r="AN37" s="6">
        <f>AL37-AM37</f>
      </c>
    </row>
    <row r="38" spans="1:40" x14ac:dyDescent="0.25">
      <c r="A38">
        <v>2032</v>
      </c>
      <c r="B38">
        <v>61</v>
      </c>
      <c r="C38" s="14">
        <f>IF(B38&lt;$B$24,"A","E")</f>
      </c>
      <c r="D38" s="4">
        <f>AH37</f>
      </c>
      <c r="E38" s="4">
        <f>AI37</f>
      </c>
      <c r="F38" s="4">
        <f>AJ37</f>
      </c>
      <c r="G38" s="4">
        <f>AK37</f>
      </c>
      <c r="H38" s="15">
        <f>$B$8-$B$9</f>
      </c>
      <c r="I38" s="15">
        <f>$B$10-$B$11</f>
      </c>
      <c r="J38" s="15">
        <f>$B$12-$B$13</f>
      </c>
      <c r="K38" s="4">
        <f>D38*H38</f>
      </c>
      <c r="L38" s="4">
        <f>MAX(0,K38)*$B$15</f>
      </c>
      <c r="M38" s="4">
        <f>D38+K38-L38</f>
      </c>
      <c r="N38" s="4">
        <f>E38*(1+I38)</f>
      </c>
      <c r="O38" s="4">
        <f>F38*(1+J38)</f>
      </c>
      <c r="P38" s="4">
        <f>MAX(0,G38+K38-L38)</f>
      </c>
      <c r="Q38" s="16">
        <f>Q37*(1+$B$16)</f>
      </c>
      <c r="R38" s="4">
        <f>IF(C38="A",$B$17*12*IF($B$18=1,Q38,(1+$B$19)^6),0)</f>
      </c>
      <c r="S38" s="4">
        <f>IF(C38="A",0,$B$20*12*IF($B$23=1,Q38,1))</f>
      </c>
      <c r="T38" s="4">
        <f>IF(AND(NOT(C38="A"),B38&gt;=$B$22),$B$21*12*IF($B$23=1,Q38,1),0)</f>
      </c>
      <c r="U38" s="4">
        <f>MAX(0,S38-T38)</f>
      </c>
      <c r="V38" s="4">
        <f>IF(C38="A",M38+$B$5*R38,MAX(0,M38-U38))</f>
      </c>
      <c r="W38" s="15">
        <f>IF(OR(C38="A",M38&gt;=U38,N38+O38&lt;=0),0,MIN(1,(U38-M38)/(N38+O38)))</f>
      </c>
      <c r="X38" s="4">
        <f>IF(C38="A",N38+$B$6*R38,N38*(1-W38))</f>
      </c>
      <c r="Y38" s="4">
        <f>IF(C38="A",O38+$B$7*R38,O38*(1-W38))</f>
      </c>
      <c r="Z38" s="4">
        <f>IF(C38="A",P38+R38,MAX(0,P38-U38))</f>
      </c>
      <c r="AA38" s="4">
        <f>SUMIFS($B$27:$B$28,$A$27:$A$28,"&gt;"&amp;(B38-1),$A$27:$A$28,"&lt;="&amp;B38)</f>
      </c>
      <c r="AB38" s="4">
        <f>IF(AA38&gt;0,V38+$B$5*AA38,IF(AND(AA38&lt;0,(V38+X38+Y38)&gt;0),V38*(1-MIN(1,ABS(AA38)/(V38+X38+Y38))),V38))</f>
      </c>
      <c r="AC38" s="4">
        <f>IF(AA38&gt;0,X38+$B$6*AA38,IF(AND(AA38&lt;0,(V38+X38+Y38)&gt;0),X38*(1-MIN(1,ABS(AA38)/(V38+X38+Y38))),X38))</f>
      </c>
      <c r="AD38" s="4">
        <f>IF(AA38&gt;0,Y38+$B$7*AA38,IF(AND(AA38&lt;0,(V38+X38+Y38)&gt;0),Y38*(1-MIN(1,ABS(AA38)/(V38+X38+Y38))),Y38))</f>
      </c>
      <c r="AE38" s="4">
        <f>IF(AA38&gt;0,Z38+AA38,IF(AA38&lt;0,MAX(0,Z38+AA38),Z38))</f>
      </c>
      <c r="AF38" s="4">
        <f>AB38+AC38+AD38</f>
      </c>
      <c r="AG38" s="4">
        <f>IF(AND(AF38&gt;AE38,AF38&gt;0),(AF38-AE38)*$B$14,0)</f>
      </c>
      <c r="AH38" s="4">
        <f>MAX(0,AB38*IF(AF38&gt;0,(AF38-AG38)/AF38,1))</f>
      </c>
      <c r="AI38" s="4">
        <f>MAX(0,AC38*IF(AF38&gt;0,(AF38-AG38)/AF38,1))</f>
      </c>
      <c r="AJ38" s="4">
        <f>MAX(0,AD38*IF(AF38&gt;0,(AF38-AG38)/AF38,1))</f>
      </c>
      <c r="AK38" s="4">
        <f>IF(AG38&gt;0,AF38-AG38,AE38)</f>
      </c>
      <c r="AL38" s="4">
        <f>AH38+AI38+AJ38</f>
      </c>
      <c r="AM38" s="5">
        <v>359902.506057232</v>
      </c>
      <c r="AN38" s="6">
        <f>AL38-AM38</f>
      </c>
    </row>
    <row r="39" spans="1:40" x14ac:dyDescent="0.25">
      <c r="A39">
        <v>2033</v>
      </c>
      <c r="B39">
        <v>62</v>
      </c>
      <c r="C39" s="14">
        <f>IF(B39&lt;$B$24,"A","E")</f>
      </c>
      <c r="D39" s="4">
        <f>AH38</f>
      </c>
      <c r="E39" s="4">
        <f>AI38</f>
      </c>
      <c r="F39" s="4">
        <f>AJ38</f>
      </c>
      <c r="G39" s="4">
        <f>AK38</f>
      </c>
      <c r="H39" s="15">
        <f>$B$8-$B$9</f>
      </c>
      <c r="I39" s="15">
        <f>$B$10-$B$11</f>
      </c>
      <c r="J39" s="15">
        <f>$B$12-$B$13</f>
      </c>
      <c r="K39" s="4">
        <f>D39*H39</f>
      </c>
      <c r="L39" s="4">
        <f>MAX(0,K39)*$B$15</f>
      </c>
      <c r="M39" s="4">
        <f>D39+K39-L39</f>
      </c>
      <c r="N39" s="4">
        <f>E39*(1+I39)</f>
      </c>
      <c r="O39" s="4">
        <f>F39*(1+J39)</f>
      </c>
      <c r="P39" s="4">
        <f>MAX(0,G39+K39-L39)</f>
      </c>
      <c r="Q39" s="16">
        <f>Q38*(1+$B$16)</f>
      </c>
      <c r="R39" s="4">
        <f>IF(C39="A",$B$17*12*IF($B$18=1,Q39,(1+$B$19)^7),0)</f>
      </c>
      <c r="S39" s="4">
        <f>IF(C39="A",0,$B$20*12*IF($B$23=1,Q39,1))</f>
      </c>
      <c r="T39" s="4">
        <f>IF(AND(NOT(C39="A"),B39&gt;=$B$22),$B$21*12*IF($B$23=1,Q39,1),0)</f>
      </c>
      <c r="U39" s="4">
        <f>MAX(0,S39-T39)</f>
      </c>
      <c r="V39" s="4">
        <f>IF(C39="A",M39+$B$5*R39,MAX(0,M39-U39))</f>
      </c>
      <c r="W39" s="15">
        <f>IF(OR(C39="A",M39&gt;=U39,N39+O39&lt;=0),0,MIN(1,(U39-M39)/(N39+O39)))</f>
      </c>
      <c r="X39" s="4">
        <f>IF(C39="A",N39+$B$6*R39,N39*(1-W39))</f>
      </c>
      <c r="Y39" s="4">
        <f>IF(C39="A",O39+$B$7*R39,O39*(1-W39))</f>
      </c>
      <c r="Z39" s="4">
        <f>IF(C39="A",P39+R39,MAX(0,P39-U39))</f>
      </c>
      <c r="AA39" s="4">
        <f>SUMIFS($B$27:$B$28,$A$27:$A$28,"&gt;"&amp;(B39-1),$A$27:$A$28,"&lt;="&amp;B39)</f>
      </c>
      <c r="AB39" s="4">
        <f>IF(AA39&gt;0,V39+$B$5*AA39,IF(AND(AA39&lt;0,(V39+X39+Y39)&gt;0),V39*(1-MIN(1,ABS(AA39)/(V39+X39+Y39))),V39))</f>
      </c>
      <c r="AC39" s="4">
        <f>IF(AA39&gt;0,X39+$B$6*AA39,IF(AND(AA39&lt;0,(V39+X39+Y39)&gt;0),X39*(1-MIN(1,ABS(AA39)/(V39+X39+Y39))),X39))</f>
      </c>
      <c r="AD39" s="4">
        <f>IF(AA39&gt;0,Y39+$B$7*AA39,IF(AND(AA39&lt;0,(V39+X39+Y39)&gt;0),Y39*(1-MIN(1,ABS(AA39)/(V39+X39+Y39))),Y39))</f>
      </c>
      <c r="AE39" s="4">
        <f>IF(AA39&gt;0,Z39+AA39,IF(AA39&lt;0,MAX(0,Z39+AA39),Z39))</f>
      </c>
      <c r="AF39" s="4">
        <f>AB39+AC39+AD39</f>
      </c>
      <c r="AG39" s="4">
        <f>IF(AND(AF39&gt;AE39,AF39&gt;0),(AF39-AE39)*$B$14,0)</f>
      </c>
      <c r="AH39" s="4">
        <f>MAX(0,AB39*IF(AF39&gt;0,(AF39-AG39)/AF39,1))</f>
      </c>
      <c r="AI39" s="4">
        <f>MAX(0,AC39*IF(AF39&gt;0,(AF39-AG39)/AF39,1))</f>
      </c>
      <c r="AJ39" s="4">
        <f>MAX(0,AD39*IF(AF39&gt;0,(AF39-AG39)/AF39,1))</f>
      </c>
      <c r="AK39" s="4">
        <f>IF(AG39&gt;0,AF39-AG39,AE39)</f>
      </c>
      <c r="AL39" s="4">
        <f>AH39+AI39+AJ39</f>
      </c>
      <c r="AM39" s="5">
        <v>374253.6184862641</v>
      </c>
      <c r="AN39" s="6">
        <f>AL39-AM39</f>
      </c>
    </row>
    <row r="40" spans="1:40" x14ac:dyDescent="0.25">
      <c r="A40">
        <v>2034</v>
      </c>
      <c r="B40">
        <v>63</v>
      </c>
      <c r="C40" s="14">
        <f>IF(B40&lt;$B$24,"A","E")</f>
      </c>
      <c r="D40" s="4">
        <f>AH39</f>
      </c>
      <c r="E40" s="4">
        <f>AI39</f>
      </c>
      <c r="F40" s="4">
        <f>AJ39</f>
      </c>
      <c r="G40" s="4">
        <f>AK39</f>
      </c>
      <c r="H40" s="15">
        <f>$B$8-$B$9</f>
      </c>
      <c r="I40" s="15">
        <f>$B$10-$B$11</f>
      </c>
      <c r="J40" s="15">
        <f>$B$12-$B$13</f>
      </c>
      <c r="K40" s="4">
        <f>D40*H40</f>
      </c>
      <c r="L40" s="4">
        <f>MAX(0,K40)*$B$15</f>
      </c>
      <c r="M40" s="4">
        <f>D40+K40-L40</f>
      </c>
      <c r="N40" s="4">
        <f>E40*(1+I40)</f>
      </c>
      <c r="O40" s="4">
        <f>F40*(1+J40)</f>
      </c>
      <c r="P40" s="4">
        <f>MAX(0,G40+K40-L40)</f>
      </c>
      <c r="Q40" s="16">
        <f>Q39*(1+$B$16)</f>
      </c>
      <c r="R40" s="4">
        <f>IF(C40="A",$B$17*12*IF($B$18=1,Q40,(1+$B$19)^8),0)</f>
      </c>
      <c r="S40" s="4">
        <f>IF(C40="A",0,$B$20*12*IF($B$23=1,Q40,1))</f>
      </c>
      <c r="T40" s="4">
        <f>IF(AND(NOT(C40="A"),B40&gt;=$B$22),$B$21*12*IF($B$23=1,Q40,1),0)</f>
      </c>
      <c r="U40" s="4">
        <f>MAX(0,S40-T40)</f>
      </c>
      <c r="V40" s="4">
        <f>IF(C40="A",M40+$B$5*R40,MAX(0,M40-U40))</f>
      </c>
      <c r="W40" s="15">
        <f>IF(OR(C40="A",M40&gt;=U40,N40+O40&lt;=0),0,MIN(1,(U40-M40)/(N40+O40)))</f>
      </c>
      <c r="X40" s="4">
        <f>IF(C40="A",N40+$B$6*R40,N40*(1-W40))</f>
      </c>
      <c r="Y40" s="4">
        <f>IF(C40="A",O40+$B$7*R40,O40*(1-W40))</f>
      </c>
      <c r="Z40" s="4">
        <f>IF(C40="A",P40+R40,MAX(0,P40-U40))</f>
      </c>
      <c r="AA40" s="4">
        <f>SUMIFS($B$27:$B$28,$A$27:$A$28,"&gt;"&amp;(B40-1),$A$27:$A$28,"&lt;="&amp;B40)</f>
      </c>
      <c r="AB40" s="4">
        <f>IF(AA40&gt;0,V40+$B$5*AA40,IF(AND(AA40&lt;0,(V40+X40+Y40)&gt;0),V40*(1-MIN(1,ABS(AA40)/(V40+X40+Y40))),V40))</f>
      </c>
      <c r="AC40" s="4">
        <f>IF(AA40&gt;0,X40+$B$6*AA40,IF(AND(AA40&lt;0,(V40+X40+Y40)&gt;0),X40*(1-MIN(1,ABS(AA40)/(V40+X40+Y40))),X40))</f>
      </c>
      <c r="AD40" s="4">
        <f>IF(AA40&gt;0,Y40+$B$7*AA40,IF(AND(AA40&lt;0,(V40+X40+Y40)&gt;0),Y40*(1-MIN(1,ABS(AA40)/(V40+X40+Y40))),Y40))</f>
      </c>
      <c r="AE40" s="4">
        <f>IF(AA40&gt;0,Z40+AA40,IF(AA40&lt;0,MAX(0,Z40+AA40),Z40))</f>
      </c>
      <c r="AF40" s="4">
        <f>AB40+AC40+AD40</f>
      </c>
      <c r="AG40" s="4">
        <f>IF(AND(AF40&gt;AE40,AF40&gt;0),(AF40-AE40)*$B$14,0)</f>
      </c>
      <c r="AH40" s="4">
        <f>MAX(0,AB40*IF(AF40&gt;0,(AF40-AG40)/AF40,1))</f>
      </c>
      <c r="AI40" s="4">
        <f>MAX(0,AC40*IF(AF40&gt;0,(AF40-AG40)/AF40,1))</f>
      </c>
      <c r="AJ40" s="4">
        <f>MAX(0,AD40*IF(AF40&gt;0,(AF40-AG40)/AF40,1))</f>
      </c>
      <c r="AK40" s="4">
        <f>IF(AG40&gt;0,AF40-AG40,AE40)</f>
      </c>
      <c r="AL40" s="4">
        <f>AH40+AI40+AJ40</f>
      </c>
      <c r="AM40" s="5">
        <v>389176.98152340384</v>
      </c>
      <c r="AN40" s="6">
        <f>AL40-AM40</f>
      </c>
    </row>
    <row r="41" spans="1:40" x14ac:dyDescent="0.25">
      <c r="A41">
        <v>2035</v>
      </c>
      <c r="B41">
        <v>64</v>
      </c>
      <c r="C41" s="14">
        <f>IF(B41&lt;$B$24,"A","E")</f>
      </c>
      <c r="D41" s="4">
        <f>AH40</f>
      </c>
      <c r="E41" s="4">
        <f>AI40</f>
      </c>
      <c r="F41" s="4">
        <f>AJ40</f>
      </c>
      <c r="G41" s="4">
        <f>AK40</f>
      </c>
      <c r="H41" s="15">
        <f>$B$8-$B$9</f>
      </c>
      <c r="I41" s="15">
        <f>$B$10-$B$11</f>
      </c>
      <c r="J41" s="15">
        <f>$B$12-$B$13</f>
      </c>
      <c r="K41" s="4">
        <f>D41*H41</f>
      </c>
      <c r="L41" s="4">
        <f>MAX(0,K41)*$B$15</f>
      </c>
      <c r="M41" s="4">
        <f>D41+K41-L41</f>
      </c>
      <c r="N41" s="4">
        <f>E41*(1+I41)</f>
      </c>
      <c r="O41" s="4">
        <f>F41*(1+J41)</f>
      </c>
      <c r="P41" s="4">
        <f>MAX(0,G41+K41-L41)</f>
      </c>
      <c r="Q41" s="16">
        <f>Q40*(1+$B$16)</f>
      </c>
      <c r="R41" s="4">
        <f>IF(C41="A",$B$17*12*IF($B$18=1,Q41,(1+$B$19)^9),0)</f>
      </c>
      <c r="S41" s="4">
        <f>IF(C41="A",0,$B$20*12*IF($B$23=1,Q41,1))</f>
      </c>
      <c r="T41" s="4">
        <f>IF(AND(NOT(C41="A"),B41&gt;=$B$22),$B$21*12*IF($B$23=1,Q41,1),0)</f>
      </c>
      <c r="U41" s="4">
        <f>MAX(0,S41-T41)</f>
      </c>
      <c r="V41" s="4">
        <f>IF(C41="A",M41+$B$5*R41,MAX(0,M41-U41))</f>
      </c>
      <c r="W41" s="15">
        <f>IF(OR(C41="A",M41&gt;=U41,N41+O41&lt;=0),0,MIN(1,(U41-M41)/(N41+O41)))</f>
      </c>
      <c r="X41" s="4">
        <f>IF(C41="A",N41+$B$6*R41,N41*(1-W41))</f>
      </c>
      <c r="Y41" s="4">
        <f>IF(C41="A",O41+$B$7*R41,O41*(1-W41))</f>
      </c>
      <c r="Z41" s="4">
        <f>IF(C41="A",P41+R41,MAX(0,P41-U41))</f>
      </c>
      <c r="AA41" s="4">
        <f>SUMIFS($B$27:$B$28,$A$27:$A$28,"&gt;"&amp;(B41-1),$A$27:$A$28,"&lt;="&amp;B41)</f>
      </c>
      <c r="AB41" s="4">
        <f>IF(AA41&gt;0,V41+$B$5*AA41,IF(AND(AA41&lt;0,(V41+X41+Y41)&gt;0),V41*(1-MIN(1,ABS(AA41)/(V41+X41+Y41))),V41))</f>
      </c>
      <c r="AC41" s="4">
        <f>IF(AA41&gt;0,X41+$B$6*AA41,IF(AND(AA41&lt;0,(V41+X41+Y41)&gt;0),X41*(1-MIN(1,ABS(AA41)/(V41+X41+Y41))),X41))</f>
      </c>
      <c r="AD41" s="4">
        <f>IF(AA41&gt;0,Y41+$B$7*AA41,IF(AND(AA41&lt;0,(V41+X41+Y41)&gt;0),Y41*(1-MIN(1,ABS(AA41)/(V41+X41+Y41))),Y41))</f>
      </c>
      <c r="AE41" s="4">
        <f>IF(AA41&gt;0,Z41+AA41,IF(AA41&lt;0,MAX(0,Z41+AA41),Z41))</f>
      </c>
      <c r="AF41" s="4">
        <f>AB41+AC41+AD41</f>
      </c>
      <c r="AG41" s="4">
        <f>IF(AND(AF41&gt;AE41,AF41&gt;0),(AF41-AE41)*$B$14,0)</f>
      </c>
      <c r="AH41" s="4">
        <f>MAX(0,AB41*IF(AF41&gt;0,(AF41-AG41)/AF41,1))</f>
      </c>
      <c r="AI41" s="4">
        <f>MAX(0,AC41*IF(AF41&gt;0,(AF41-AG41)/AF41,1))</f>
      </c>
      <c r="AJ41" s="4">
        <f>MAX(0,AD41*IF(AF41&gt;0,(AF41-AG41)/AF41,1))</f>
      </c>
      <c r="AK41" s="4">
        <f>IF(AG41&gt;0,AF41-AG41,AE41)</f>
      </c>
      <c r="AL41" s="4">
        <f>AH41+AI41+AJ41</f>
      </c>
      <c r="AM41" s="5">
        <v>404695.41366164957</v>
      </c>
      <c r="AN41" s="6">
        <f>AL41-AM41</f>
      </c>
    </row>
    <row r="42" spans="1:40" x14ac:dyDescent="0.25">
      <c r="A42">
        <v>2036</v>
      </c>
      <c r="B42">
        <v>65</v>
      </c>
      <c r="C42" s="14">
        <f>IF(B42&lt;$B$24,"A","E")</f>
      </c>
      <c r="D42" s="4">
        <f>AH41</f>
      </c>
      <c r="E42" s="4">
        <f>AI41</f>
      </c>
      <c r="F42" s="4">
        <f>AJ41</f>
      </c>
      <c r="G42" s="4">
        <f>AK41</f>
      </c>
      <c r="H42" s="15">
        <f>$B$8-$B$9</f>
      </c>
      <c r="I42" s="15">
        <f>$B$10-$B$11</f>
      </c>
      <c r="J42" s="15">
        <f>$B$12-$B$13</f>
      </c>
      <c r="K42" s="4">
        <f>D42*H42</f>
      </c>
      <c r="L42" s="4">
        <f>MAX(0,K42)*$B$15</f>
      </c>
      <c r="M42" s="4">
        <f>D42+K42-L42</f>
      </c>
      <c r="N42" s="4">
        <f>E42*(1+I42)</f>
      </c>
      <c r="O42" s="4">
        <f>F42*(1+J42)</f>
      </c>
      <c r="P42" s="4">
        <f>MAX(0,G42+K42-L42)</f>
      </c>
      <c r="Q42" s="16">
        <f>Q41*(1+$B$16)</f>
      </c>
      <c r="R42" s="4">
        <f>IF(C42="A",$B$17*12*IF($B$18=1,Q42,(1+$B$19)^10),0)</f>
      </c>
      <c r="S42" s="4">
        <f>IF(C42="A",0,$B$20*12*IF($B$23=1,Q42,1))</f>
      </c>
      <c r="T42" s="4">
        <f>IF(AND(NOT(C42="A"),B42&gt;=$B$22),$B$21*12*IF($B$23=1,Q42,1),0)</f>
      </c>
      <c r="U42" s="4">
        <f>MAX(0,S42-T42)</f>
      </c>
      <c r="V42" s="4">
        <f>IF(C42="A",M42+$B$5*R42,MAX(0,M42-U42))</f>
      </c>
      <c r="W42" s="15">
        <f>IF(OR(C42="A",M42&gt;=U42,N42+O42&lt;=0),0,MIN(1,(U42-M42)/(N42+O42)))</f>
      </c>
      <c r="X42" s="4">
        <f>IF(C42="A",N42+$B$6*R42,N42*(1-W42))</f>
      </c>
      <c r="Y42" s="4">
        <f>IF(C42="A",O42+$B$7*R42,O42*(1-W42))</f>
      </c>
      <c r="Z42" s="4">
        <f>IF(C42="A",P42+R42,MAX(0,P42-U42))</f>
      </c>
      <c r="AA42" s="4">
        <f>SUMIFS($B$27:$B$28,$A$27:$A$28,"&gt;"&amp;(B42-1),$A$27:$A$28,"&lt;="&amp;B42)</f>
      </c>
      <c r="AB42" s="4">
        <f>IF(AA42&gt;0,V42+$B$5*AA42,IF(AND(AA42&lt;0,(V42+X42+Y42)&gt;0),V42*(1-MIN(1,ABS(AA42)/(V42+X42+Y42))),V42))</f>
      </c>
      <c r="AC42" s="4">
        <f>IF(AA42&gt;0,X42+$B$6*AA42,IF(AND(AA42&lt;0,(V42+X42+Y42)&gt;0),X42*(1-MIN(1,ABS(AA42)/(V42+X42+Y42))),X42))</f>
      </c>
      <c r="AD42" s="4">
        <f>IF(AA42&gt;0,Y42+$B$7*AA42,IF(AND(AA42&lt;0,(V42+X42+Y42)&gt;0),Y42*(1-MIN(1,ABS(AA42)/(V42+X42+Y42))),Y42))</f>
      </c>
      <c r="AE42" s="4">
        <f>IF(AA42&gt;0,Z42+AA42,IF(AA42&lt;0,MAX(0,Z42+AA42),Z42))</f>
      </c>
      <c r="AF42" s="4">
        <f>AB42+AC42+AD42</f>
      </c>
      <c r="AG42" s="4">
        <f>IF(AND(AF42&gt;AE42,AF42&gt;0),(AF42-AE42)*$B$14,0)</f>
      </c>
      <c r="AH42" s="4">
        <f>MAX(0,AB42*IF(AF42&gt;0,(AF42-AG42)/AF42,1))</f>
      </c>
      <c r="AI42" s="4">
        <f>MAX(0,AC42*IF(AF42&gt;0,(AF42-AG42)/AF42,1))</f>
      </c>
      <c r="AJ42" s="4">
        <f>MAX(0,AD42*IF(AF42&gt;0,(AF42-AG42)/AF42,1))</f>
      </c>
      <c r="AK42" s="4">
        <f>IF(AG42&gt;0,AF42-AG42,AE42)</f>
      </c>
      <c r="AL42" s="4">
        <f>AH42+AI42+AJ42</f>
      </c>
      <c r="AM42" s="5">
        <v>402928.05324052484</v>
      </c>
      <c r="AN42" s="6">
        <f>AL42-AM42</f>
      </c>
    </row>
    <row r="43" spans="1:40" x14ac:dyDescent="0.25">
      <c r="A43">
        <v>2037</v>
      </c>
      <c r="B43">
        <v>66</v>
      </c>
      <c r="C43" s="14">
        <f>IF(B43&lt;$B$24,"A","E")</f>
      </c>
      <c r="D43" s="4">
        <f>AH42</f>
      </c>
      <c r="E43" s="4">
        <f>AI42</f>
      </c>
      <c r="F43" s="4">
        <f>AJ42</f>
      </c>
      <c r="G43" s="4">
        <f>AK42</f>
      </c>
      <c r="H43" s="15">
        <f>$B$8-$B$9</f>
      </c>
      <c r="I43" s="15">
        <f>$B$10-$B$11</f>
      </c>
      <c r="J43" s="15">
        <f>$B$12-$B$13</f>
      </c>
      <c r="K43" s="4">
        <f>D43*H43</f>
      </c>
      <c r="L43" s="4">
        <f>MAX(0,K43)*$B$15</f>
      </c>
      <c r="M43" s="4">
        <f>D43+K43-L43</f>
      </c>
      <c r="N43" s="4">
        <f>E43*(1+I43)</f>
      </c>
      <c r="O43" s="4">
        <f>F43*(1+J43)</f>
      </c>
      <c r="P43" s="4">
        <f>MAX(0,G43+K43-L43)</f>
      </c>
      <c r="Q43" s="16">
        <f>Q42*(1+$B$16)</f>
      </c>
      <c r="R43" s="4">
        <f>IF(C43="A",$B$17*12*IF($B$18=1,Q43,(1+$B$19)^11),0)</f>
      </c>
      <c r="S43" s="4">
        <f>IF(C43="A",0,$B$20*12*IF($B$23=1,Q43,1))</f>
      </c>
      <c r="T43" s="4">
        <f>IF(AND(NOT(C43="A"),B43&gt;=$B$22),$B$21*12*IF($B$23=1,Q43,1),0)</f>
      </c>
      <c r="U43" s="4">
        <f>MAX(0,S43-T43)</f>
      </c>
      <c r="V43" s="4">
        <f>IF(C43="A",M43+$B$5*R43,MAX(0,M43-U43))</f>
      </c>
      <c r="W43" s="15">
        <f>IF(OR(C43="A",M43&gt;=U43,N43+O43&lt;=0),0,MIN(1,(U43-M43)/(N43+O43)))</f>
      </c>
      <c r="X43" s="4">
        <f>IF(C43="A",N43+$B$6*R43,N43*(1-W43))</f>
      </c>
      <c r="Y43" s="4">
        <f>IF(C43="A",O43+$B$7*R43,O43*(1-W43))</f>
      </c>
      <c r="Z43" s="4">
        <f>IF(C43="A",P43+R43,MAX(0,P43-U43))</f>
      </c>
      <c r="AA43" s="4">
        <f>SUMIFS($B$27:$B$28,$A$27:$A$28,"&gt;"&amp;(B43-1),$A$27:$A$28,"&lt;="&amp;B43)</f>
      </c>
      <c r="AB43" s="4">
        <f>IF(AA43&gt;0,V43+$B$5*AA43,IF(AND(AA43&lt;0,(V43+X43+Y43)&gt;0),V43*(1-MIN(1,ABS(AA43)/(V43+X43+Y43))),V43))</f>
      </c>
      <c r="AC43" s="4">
        <f>IF(AA43&gt;0,X43+$B$6*AA43,IF(AND(AA43&lt;0,(V43+X43+Y43)&gt;0),X43*(1-MIN(1,ABS(AA43)/(V43+X43+Y43))),X43))</f>
      </c>
      <c r="AD43" s="4">
        <f>IF(AA43&gt;0,Y43+$B$7*AA43,IF(AND(AA43&lt;0,(V43+X43+Y43)&gt;0),Y43*(1-MIN(1,ABS(AA43)/(V43+X43+Y43))),Y43))</f>
      </c>
      <c r="AE43" s="4">
        <f>IF(AA43&gt;0,Z43+AA43,IF(AA43&lt;0,MAX(0,Z43+AA43),Z43))</f>
      </c>
      <c r="AF43" s="4">
        <f>AB43+AC43+AD43</f>
      </c>
      <c r="AG43" s="4">
        <f>IF(AND(AF43&gt;AE43,AF43&gt;0),(AF43-AE43)*$B$14,0)</f>
      </c>
      <c r="AH43" s="4">
        <f>MAX(0,AB43*IF(AF43&gt;0,(AF43-AG43)/AF43,1))</f>
      </c>
      <c r="AI43" s="4">
        <f>MAX(0,AC43*IF(AF43&gt;0,(AF43-AG43)/AF43,1))</f>
      </c>
      <c r="AJ43" s="4">
        <f>MAX(0,AD43*IF(AF43&gt;0,(AF43-AG43)/AF43,1))</f>
      </c>
      <c r="AK43" s="4">
        <f>IF(AG43&gt;0,AF43-AG43,AE43)</f>
      </c>
      <c r="AL43" s="4">
        <f>AH43+AI43+AJ43</f>
      </c>
      <c r="AM43" s="5">
        <v>400732.1275217901</v>
      </c>
      <c r="AN43" s="6">
        <f>AL43-AM43</f>
      </c>
    </row>
    <row r="44" spans="1:40" x14ac:dyDescent="0.25">
      <c r="A44">
        <v>2038</v>
      </c>
      <c r="B44">
        <v>67</v>
      </c>
      <c r="C44" s="14">
        <f>IF(B44&lt;$B$24,"A","E")</f>
      </c>
      <c r="D44" s="4">
        <f>AH43</f>
      </c>
      <c r="E44" s="4">
        <f>AI43</f>
      </c>
      <c r="F44" s="4">
        <f>AJ43</f>
      </c>
      <c r="G44" s="4">
        <f>AK43</f>
      </c>
      <c r="H44" s="15">
        <f>$B$8-$B$9</f>
      </c>
      <c r="I44" s="15">
        <f>$B$10-$B$11</f>
      </c>
      <c r="J44" s="15">
        <f>$B$12-$B$13</f>
      </c>
      <c r="K44" s="4">
        <f>D44*H44</f>
      </c>
      <c r="L44" s="4">
        <f>MAX(0,K44)*$B$15</f>
      </c>
      <c r="M44" s="4">
        <f>D44+K44-L44</f>
      </c>
      <c r="N44" s="4">
        <f>E44*(1+I44)</f>
      </c>
      <c r="O44" s="4">
        <f>F44*(1+J44)</f>
      </c>
      <c r="P44" s="4">
        <f>MAX(0,G44+K44-L44)</f>
      </c>
      <c r="Q44" s="16">
        <f>Q43*(1+$B$16)</f>
      </c>
      <c r="R44" s="4">
        <f>IF(C44="A",$B$17*12*IF($B$18=1,Q44,(1+$B$19)^12),0)</f>
      </c>
      <c r="S44" s="4">
        <f>IF(C44="A",0,$B$20*12*IF($B$23=1,Q44,1))</f>
      </c>
      <c r="T44" s="4">
        <f>IF(AND(NOT(C44="A"),B44&gt;=$B$22),$B$21*12*IF($B$23=1,Q44,1),0)</f>
      </c>
      <c r="U44" s="4">
        <f>MAX(0,S44-T44)</f>
      </c>
      <c r="V44" s="4">
        <f>IF(C44="A",M44+$B$5*R44,MAX(0,M44-U44))</f>
      </c>
      <c r="W44" s="15">
        <f>IF(OR(C44="A",M44&gt;=U44,N44+O44&lt;=0),0,MIN(1,(U44-M44)/(N44+O44)))</f>
      </c>
      <c r="X44" s="4">
        <f>IF(C44="A",N44+$B$6*R44,N44*(1-W44))</f>
      </c>
      <c r="Y44" s="4">
        <f>IF(C44="A",O44+$B$7*R44,O44*(1-W44))</f>
      </c>
      <c r="Z44" s="4">
        <f>IF(C44="A",P44+R44,MAX(0,P44-U44))</f>
      </c>
      <c r="AA44" s="4">
        <f>SUMIFS($B$27:$B$28,$A$27:$A$28,"&gt;"&amp;(B44-1),$A$27:$A$28,"&lt;="&amp;B44)</f>
      </c>
      <c r="AB44" s="4">
        <f>IF(AA44&gt;0,V44+$B$5*AA44,IF(AND(AA44&lt;0,(V44+X44+Y44)&gt;0),V44*(1-MIN(1,ABS(AA44)/(V44+X44+Y44))),V44))</f>
      </c>
      <c r="AC44" s="4">
        <f>IF(AA44&gt;0,X44+$B$6*AA44,IF(AND(AA44&lt;0,(V44+X44+Y44)&gt;0),X44*(1-MIN(1,ABS(AA44)/(V44+X44+Y44))),X44))</f>
      </c>
      <c r="AD44" s="4">
        <f>IF(AA44&gt;0,Y44+$B$7*AA44,IF(AND(AA44&lt;0,(V44+X44+Y44)&gt;0),Y44*(1-MIN(1,ABS(AA44)/(V44+X44+Y44))),Y44))</f>
      </c>
      <c r="AE44" s="4">
        <f>IF(AA44&gt;0,Z44+AA44,IF(AA44&lt;0,MAX(0,Z44+AA44),Z44))</f>
      </c>
      <c r="AF44" s="4">
        <f>AB44+AC44+AD44</f>
      </c>
      <c r="AG44" s="4">
        <f>IF(AND(AF44&gt;AE44,AF44&gt;0),(AF44-AE44)*$B$14,0)</f>
      </c>
      <c r="AH44" s="4">
        <f>MAX(0,AB44*IF(AF44&gt;0,(AF44-AG44)/AF44,1))</f>
      </c>
      <c r="AI44" s="4">
        <f>MAX(0,AC44*IF(AF44&gt;0,(AF44-AG44)/AF44,1))</f>
      </c>
      <c r="AJ44" s="4">
        <f>MAX(0,AD44*IF(AF44&gt;0,(AF44-AG44)/AF44,1))</f>
      </c>
      <c r="AK44" s="4">
        <f>IF(AG44&gt;0,AF44-AG44,AE44)</f>
      </c>
      <c r="AL44" s="4">
        <f>AH44+AI44+AJ44</f>
      </c>
      <c r="AM44" s="5">
        <v>398083.3856281868</v>
      </c>
      <c r="AN44" s="6">
        <f>AL44-AM44</f>
      </c>
    </row>
    <row r="45" spans="1:40" x14ac:dyDescent="0.25">
      <c r="A45">
        <v>2039</v>
      </c>
      <c r="B45">
        <v>68</v>
      </c>
      <c r="C45" s="14">
        <f>IF(B45&lt;$B$24,"A","E")</f>
      </c>
      <c r="D45" s="4">
        <f>AH44</f>
      </c>
      <c r="E45" s="4">
        <f>AI44</f>
      </c>
      <c r="F45" s="4">
        <f>AJ44</f>
      </c>
      <c r="G45" s="4">
        <f>AK44</f>
      </c>
      <c r="H45" s="15">
        <f>$B$8-$B$9</f>
      </c>
      <c r="I45" s="15">
        <f>$B$10-$B$11</f>
      </c>
      <c r="J45" s="15">
        <f>$B$12-$B$13</f>
      </c>
      <c r="K45" s="4">
        <f>D45*H45</f>
      </c>
      <c r="L45" s="4">
        <f>MAX(0,K45)*$B$15</f>
      </c>
      <c r="M45" s="4">
        <f>D45+K45-L45</f>
      </c>
      <c r="N45" s="4">
        <f>E45*(1+I45)</f>
      </c>
      <c r="O45" s="4">
        <f>F45*(1+J45)</f>
      </c>
      <c r="P45" s="4">
        <f>MAX(0,G45+K45-L45)</f>
      </c>
      <c r="Q45" s="16">
        <f>Q44*(1+$B$16)</f>
      </c>
      <c r="R45" s="4">
        <f>IF(C45="A",$B$17*12*IF($B$18=1,Q45,(1+$B$19)^13),0)</f>
      </c>
      <c r="S45" s="4">
        <f>IF(C45="A",0,$B$20*12*IF($B$23=1,Q45,1))</f>
      </c>
      <c r="T45" s="4">
        <f>IF(AND(NOT(C45="A"),B45&gt;=$B$22),$B$21*12*IF($B$23=1,Q45,1),0)</f>
      </c>
      <c r="U45" s="4">
        <f>MAX(0,S45-T45)</f>
      </c>
      <c r="V45" s="4">
        <f>IF(C45="A",M45+$B$5*R45,MAX(0,M45-U45))</f>
      </c>
      <c r="W45" s="15">
        <f>IF(OR(C45="A",M45&gt;=U45,N45+O45&lt;=0),0,MIN(1,(U45-M45)/(N45+O45)))</f>
      </c>
      <c r="X45" s="4">
        <f>IF(C45="A",N45+$B$6*R45,N45*(1-W45))</f>
      </c>
      <c r="Y45" s="4">
        <f>IF(C45="A",O45+$B$7*R45,O45*(1-W45))</f>
      </c>
      <c r="Z45" s="4">
        <f>IF(C45="A",P45+R45,MAX(0,P45-U45))</f>
      </c>
      <c r="AA45" s="4">
        <f>SUMIFS($B$27:$B$28,$A$27:$A$28,"&gt;"&amp;(B45-1),$A$27:$A$28,"&lt;="&amp;B45)</f>
      </c>
      <c r="AB45" s="4">
        <f>IF(AA45&gt;0,V45+$B$5*AA45,IF(AND(AA45&lt;0,(V45+X45+Y45)&gt;0),V45*(1-MIN(1,ABS(AA45)/(V45+X45+Y45))),V45))</f>
      </c>
      <c r="AC45" s="4">
        <f>IF(AA45&gt;0,X45+$B$6*AA45,IF(AND(AA45&lt;0,(V45+X45+Y45)&gt;0),X45*(1-MIN(1,ABS(AA45)/(V45+X45+Y45))),X45))</f>
      </c>
      <c r="AD45" s="4">
        <f>IF(AA45&gt;0,Y45+$B$7*AA45,IF(AND(AA45&lt;0,(V45+X45+Y45)&gt;0),Y45*(1-MIN(1,ABS(AA45)/(V45+X45+Y45))),Y45))</f>
      </c>
      <c r="AE45" s="4">
        <f>IF(AA45&gt;0,Z45+AA45,IF(AA45&lt;0,MAX(0,Z45+AA45),Z45))</f>
      </c>
      <c r="AF45" s="4">
        <f>AB45+AC45+AD45</f>
      </c>
      <c r="AG45" s="4">
        <f>IF(AND(AF45&gt;AE45,AF45&gt;0),(AF45-AE45)*$B$14,0)</f>
      </c>
      <c r="AH45" s="4">
        <f>MAX(0,AB45*IF(AF45&gt;0,(AF45-AG45)/AF45,1))</f>
      </c>
      <c r="AI45" s="4">
        <f>MAX(0,AC45*IF(AF45&gt;0,(AF45-AG45)/AF45,1))</f>
      </c>
      <c r="AJ45" s="4">
        <f>MAX(0,AD45*IF(AF45&gt;0,(AF45-AG45)/AF45,1))</f>
      </c>
      <c r="AK45" s="4">
        <f>IF(AG45&gt;0,AF45-AG45,AE45)</f>
      </c>
      <c r="AL45" s="4">
        <f>AH45+AI45+AJ45</f>
      </c>
      <c r="AM45" s="5">
        <v>394956.4664420054</v>
      </c>
      <c r="AN45" s="6">
        <f>AL45-AM45</f>
      </c>
    </row>
    <row r="46" spans="1:40" x14ac:dyDescent="0.25">
      <c r="A46">
        <v>2040</v>
      </c>
      <c r="B46">
        <v>69</v>
      </c>
      <c r="C46" s="14">
        <f>IF(B46&lt;$B$24,"A","E")</f>
      </c>
      <c r="D46" s="4">
        <f>AH45</f>
      </c>
      <c r="E46" s="4">
        <f>AI45</f>
      </c>
      <c r="F46" s="4">
        <f>AJ45</f>
      </c>
      <c r="G46" s="4">
        <f>AK45</f>
      </c>
      <c r="H46" s="15">
        <f>$B$8-$B$9</f>
      </c>
      <c r="I46" s="15">
        <f>$B$10-$B$11</f>
      </c>
      <c r="J46" s="15">
        <f>$B$12-$B$13</f>
      </c>
      <c r="K46" s="4">
        <f>D46*H46</f>
      </c>
      <c r="L46" s="4">
        <f>MAX(0,K46)*$B$15</f>
      </c>
      <c r="M46" s="4">
        <f>D46+K46-L46</f>
      </c>
      <c r="N46" s="4">
        <f>E46*(1+I46)</f>
      </c>
      <c r="O46" s="4">
        <f>F46*(1+J46)</f>
      </c>
      <c r="P46" s="4">
        <f>MAX(0,G46+K46-L46)</f>
      </c>
      <c r="Q46" s="16">
        <f>Q45*(1+$B$16)</f>
      </c>
      <c r="R46" s="4">
        <f>IF(C46="A",$B$17*12*IF($B$18=1,Q46,(1+$B$19)^14),0)</f>
      </c>
      <c r="S46" s="4">
        <f>IF(C46="A",0,$B$20*12*IF($B$23=1,Q46,1))</f>
      </c>
      <c r="T46" s="4">
        <f>IF(AND(NOT(C46="A"),B46&gt;=$B$22),$B$21*12*IF($B$23=1,Q46,1),0)</f>
      </c>
      <c r="U46" s="4">
        <f>MAX(0,S46-T46)</f>
      </c>
      <c r="V46" s="4">
        <f>IF(C46="A",M46+$B$5*R46,MAX(0,M46-U46))</f>
      </c>
      <c r="W46" s="15">
        <f>IF(OR(C46="A",M46&gt;=U46,N46+O46&lt;=0),0,MIN(1,(U46-M46)/(N46+O46)))</f>
      </c>
      <c r="X46" s="4">
        <f>IF(C46="A",N46+$B$6*R46,N46*(1-W46))</f>
      </c>
      <c r="Y46" s="4">
        <f>IF(C46="A",O46+$B$7*R46,O46*(1-W46))</f>
      </c>
      <c r="Z46" s="4">
        <f>IF(C46="A",P46+R46,MAX(0,P46-U46))</f>
      </c>
      <c r="AA46" s="4">
        <f>SUMIFS($B$27:$B$28,$A$27:$A$28,"&gt;"&amp;(B46-1),$A$27:$A$28,"&lt;="&amp;B46)</f>
      </c>
      <c r="AB46" s="4">
        <f>IF(AA46&gt;0,V46+$B$5*AA46,IF(AND(AA46&lt;0,(V46+X46+Y46)&gt;0),V46*(1-MIN(1,ABS(AA46)/(V46+X46+Y46))),V46))</f>
      </c>
      <c r="AC46" s="4">
        <f>IF(AA46&gt;0,X46+$B$6*AA46,IF(AND(AA46&lt;0,(V46+X46+Y46)&gt;0),X46*(1-MIN(1,ABS(AA46)/(V46+X46+Y46))),X46))</f>
      </c>
      <c r="AD46" s="4">
        <f>IF(AA46&gt;0,Y46+$B$7*AA46,IF(AND(AA46&lt;0,(V46+X46+Y46)&gt;0),Y46*(1-MIN(1,ABS(AA46)/(V46+X46+Y46))),Y46))</f>
      </c>
      <c r="AE46" s="4">
        <f>IF(AA46&gt;0,Z46+AA46,IF(AA46&lt;0,MAX(0,Z46+AA46),Z46))</f>
      </c>
      <c r="AF46" s="4">
        <f>AB46+AC46+AD46</f>
      </c>
      <c r="AG46" s="4">
        <f>IF(AND(AF46&gt;AE46,AF46&gt;0),(AF46-AE46)*$B$14,0)</f>
      </c>
      <c r="AH46" s="4">
        <f>MAX(0,AB46*IF(AF46&gt;0,(AF46-AG46)/AF46,1))</f>
      </c>
      <c r="AI46" s="4">
        <f>MAX(0,AC46*IF(AF46&gt;0,(AF46-AG46)/AF46,1))</f>
      </c>
      <c r="AJ46" s="4">
        <f>MAX(0,AD46*IF(AF46&gt;0,(AF46-AG46)/AF46,1))</f>
      </c>
      <c r="AK46" s="4">
        <f>IF(AG46&gt;0,AF46-AG46,AE46)</f>
      </c>
      <c r="AL46" s="4">
        <f>AH46+AI46+AJ46</f>
      </c>
      <c r="AM46" s="5">
        <v>391324.85146951285</v>
      </c>
      <c r="AN46" s="6">
        <f>AL46-AM46</f>
      </c>
    </row>
    <row r="47" spans="1:40" x14ac:dyDescent="0.25">
      <c r="A47">
        <v>2041</v>
      </c>
      <c r="B47">
        <v>70</v>
      </c>
      <c r="C47" s="14">
        <f>IF(B47&lt;$B$24,"A","E")</f>
      </c>
      <c r="D47" s="4">
        <f>AH46</f>
      </c>
      <c r="E47" s="4">
        <f>AI46</f>
      </c>
      <c r="F47" s="4">
        <f>AJ46</f>
      </c>
      <c r="G47" s="4">
        <f>AK46</f>
      </c>
      <c r="H47" s="15">
        <f>$B$8-$B$9</f>
      </c>
      <c r="I47" s="15">
        <f>$B$10-$B$11</f>
      </c>
      <c r="J47" s="15">
        <f>$B$12-$B$13</f>
      </c>
      <c r="K47" s="4">
        <f>D47*H47</f>
      </c>
      <c r="L47" s="4">
        <f>MAX(0,K47)*$B$15</f>
      </c>
      <c r="M47" s="4">
        <f>D47+K47-L47</f>
      </c>
      <c r="N47" s="4">
        <f>E47*(1+I47)</f>
      </c>
      <c r="O47" s="4">
        <f>F47*(1+J47)</f>
      </c>
      <c r="P47" s="4">
        <f>MAX(0,G47+K47-L47)</f>
      </c>
      <c r="Q47" s="16">
        <f>Q46*(1+$B$16)</f>
      </c>
      <c r="R47" s="4">
        <f>IF(C47="A",$B$17*12*IF($B$18=1,Q47,(1+$B$19)^15),0)</f>
      </c>
      <c r="S47" s="4">
        <f>IF(C47="A",0,$B$20*12*IF($B$23=1,Q47,1))</f>
      </c>
      <c r="T47" s="4">
        <f>IF(AND(NOT(C47="A"),B47&gt;=$B$22),$B$21*12*IF($B$23=1,Q47,1),0)</f>
      </c>
      <c r="U47" s="4">
        <f>MAX(0,S47-T47)</f>
      </c>
      <c r="V47" s="4">
        <f>IF(C47="A",M47+$B$5*R47,MAX(0,M47-U47))</f>
      </c>
      <c r="W47" s="15">
        <f>IF(OR(C47="A",M47&gt;=U47,N47+O47&lt;=0),0,MIN(1,(U47-M47)/(N47+O47)))</f>
      </c>
      <c r="X47" s="4">
        <f>IF(C47="A",N47+$B$6*R47,N47*(1-W47))</f>
      </c>
      <c r="Y47" s="4">
        <f>IF(C47="A",O47+$B$7*R47,O47*(1-W47))</f>
      </c>
      <c r="Z47" s="4">
        <f>IF(C47="A",P47+R47,MAX(0,P47-U47))</f>
      </c>
      <c r="AA47" s="4">
        <f>SUMIFS($B$27:$B$28,$A$27:$A$28,"&gt;"&amp;(B47-1),$A$27:$A$28,"&lt;="&amp;B47)</f>
      </c>
      <c r="AB47" s="4">
        <f>IF(AA47&gt;0,V47+$B$5*AA47,IF(AND(AA47&lt;0,(V47+X47+Y47)&gt;0),V47*(1-MIN(1,ABS(AA47)/(V47+X47+Y47))),V47))</f>
      </c>
      <c r="AC47" s="4">
        <f>IF(AA47&gt;0,X47+$B$6*AA47,IF(AND(AA47&lt;0,(V47+X47+Y47)&gt;0),X47*(1-MIN(1,ABS(AA47)/(V47+X47+Y47))),X47))</f>
      </c>
      <c r="AD47" s="4">
        <f>IF(AA47&gt;0,Y47+$B$7*AA47,IF(AND(AA47&lt;0,(V47+X47+Y47)&gt;0),Y47*(1-MIN(1,ABS(AA47)/(V47+X47+Y47))),Y47))</f>
      </c>
      <c r="AE47" s="4">
        <f>IF(AA47&gt;0,Z47+AA47,IF(AA47&lt;0,MAX(0,Z47+AA47),Z47))</f>
      </c>
      <c r="AF47" s="4">
        <f>AB47+AC47+AD47</f>
      </c>
      <c r="AG47" s="4">
        <f>IF(AND(AF47&gt;AE47,AF47&gt;0),(AF47-AE47)*$B$14,0)</f>
      </c>
      <c r="AH47" s="4">
        <f>MAX(0,AB47*IF(AF47&gt;0,(AF47-AG47)/AF47,1))</f>
      </c>
      <c r="AI47" s="4">
        <f>MAX(0,AC47*IF(AF47&gt;0,(AF47-AG47)/AF47,1))</f>
      </c>
      <c r="AJ47" s="4">
        <f>MAX(0,AD47*IF(AF47&gt;0,(AF47-AG47)/AF47,1))</f>
      </c>
      <c r="AK47" s="4">
        <f>IF(AG47&gt;0,AF47-AG47,AE47)</f>
      </c>
      <c r="AL47" s="4">
        <f>AH47+AI47+AJ47</f>
      </c>
      <c r="AM47" s="5">
        <v>337160.8157685548</v>
      </c>
      <c r="AN47" s="6">
        <f>AL47-AM47</f>
      </c>
    </row>
    <row r="48" spans="1:40" x14ac:dyDescent="0.25">
      <c r="A48">
        <v>2042</v>
      </c>
      <c r="B48">
        <v>71</v>
      </c>
      <c r="C48" s="14">
        <f>IF(B48&lt;$B$24,"A","E")</f>
      </c>
      <c r="D48" s="4">
        <f>AH47</f>
      </c>
      <c r="E48" s="4">
        <f>AI47</f>
      </c>
      <c r="F48" s="4">
        <f>AJ47</f>
      </c>
      <c r="G48" s="4">
        <f>AK47</f>
      </c>
      <c r="H48" s="15">
        <f>$B$8-$B$9</f>
      </c>
      <c r="I48" s="15">
        <f>$B$10-$B$11</f>
      </c>
      <c r="J48" s="15">
        <f>$B$12-$B$13</f>
      </c>
      <c r="K48" s="4">
        <f>D48*H48</f>
      </c>
      <c r="L48" s="4">
        <f>MAX(0,K48)*$B$15</f>
      </c>
      <c r="M48" s="4">
        <f>D48+K48-L48</f>
      </c>
      <c r="N48" s="4">
        <f>E48*(1+I48)</f>
      </c>
      <c r="O48" s="4">
        <f>F48*(1+J48)</f>
      </c>
      <c r="P48" s="4">
        <f>MAX(0,G48+K48-L48)</f>
      </c>
      <c r="Q48" s="16">
        <f>Q47*(1+$B$16)</f>
      </c>
      <c r="R48" s="4">
        <f>IF(C48="A",$B$17*12*IF($B$18=1,Q48,(1+$B$19)^16),0)</f>
      </c>
      <c r="S48" s="4">
        <f>IF(C48="A",0,$B$20*12*IF($B$23=1,Q48,1))</f>
      </c>
      <c r="T48" s="4">
        <f>IF(AND(NOT(C48="A"),B48&gt;=$B$22),$B$21*12*IF($B$23=1,Q48,1),0)</f>
      </c>
      <c r="U48" s="4">
        <f>MAX(0,S48-T48)</f>
      </c>
      <c r="V48" s="4">
        <f>IF(C48="A",M48+$B$5*R48,MAX(0,M48-U48))</f>
      </c>
      <c r="W48" s="15">
        <f>IF(OR(C48="A",M48&gt;=U48,N48+O48&lt;=0),0,MIN(1,(U48-M48)/(N48+O48)))</f>
      </c>
      <c r="X48" s="4">
        <f>IF(C48="A",N48+$B$6*R48,N48*(1-W48))</f>
      </c>
      <c r="Y48" s="4">
        <f>IF(C48="A",O48+$B$7*R48,O48*(1-W48))</f>
      </c>
      <c r="Z48" s="4">
        <f>IF(C48="A",P48+R48,MAX(0,P48-U48))</f>
      </c>
      <c r="AA48" s="4">
        <f>SUMIFS($B$27:$B$28,$A$27:$A$28,"&gt;"&amp;(B48-1),$A$27:$A$28,"&lt;="&amp;B48)</f>
      </c>
      <c r="AB48" s="4">
        <f>IF(AA48&gt;0,V48+$B$5*AA48,IF(AND(AA48&lt;0,(V48+X48+Y48)&gt;0),V48*(1-MIN(1,ABS(AA48)/(V48+X48+Y48))),V48))</f>
      </c>
      <c r="AC48" s="4">
        <f>IF(AA48&gt;0,X48+$B$6*AA48,IF(AND(AA48&lt;0,(V48+X48+Y48)&gt;0),X48*(1-MIN(1,ABS(AA48)/(V48+X48+Y48))),X48))</f>
      </c>
      <c r="AD48" s="4">
        <f>IF(AA48&gt;0,Y48+$B$7*AA48,IF(AND(AA48&lt;0,(V48+X48+Y48)&gt;0),Y48*(1-MIN(1,ABS(AA48)/(V48+X48+Y48))),Y48))</f>
      </c>
      <c r="AE48" s="4">
        <f>IF(AA48&gt;0,Z48+AA48,IF(AA48&lt;0,MAX(0,Z48+AA48),Z48))</f>
      </c>
      <c r="AF48" s="4">
        <f>AB48+AC48+AD48</f>
      </c>
      <c r="AG48" s="4">
        <f>IF(AND(AF48&gt;AE48,AF48&gt;0),(AF48-AE48)*$B$14,0)</f>
      </c>
      <c r="AH48" s="4">
        <f>MAX(0,AB48*IF(AF48&gt;0,(AF48-AG48)/AF48,1))</f>
      </c>
      <c r="AI48" s="4">
        <f>MAX(0,AC48*IF(AF48&gt;0,(AF48-AG48)/AF48,1))</f>
      </c>
      <c r="AJ48" s="4">
        <f>MAX(0,AD48*IF(AF48&gt;0,(AF48-AG48)/AF48,1))</f>
      </c>
      <c r="AK48" s="4">
        <f>IF(AG48&gt;0,AF48-AG48,AE48)</f>
      </c>
      <c r="AL48" s="4">
        <f>AH48+AI48+AJ48</f>
      </c>
      <c r="AM48" s="5">
        <v>330441.626860955</v>
      </c>
      <c r="AN48" s="6">
        <f>AL48-AM48</f>
      </c>
    </row>
    <row r="49" spans="1:40" x14ac:dyDescent="0.25">
      <c r="A49">
        <v>2043</v>
      </c>
      <c r="B49">
        <v>72</v>
      </c>
      <c r="C49" s="14">
        <f>IF(B49&lt;$B$24,"A","E")</f>
      </c>
      <c r="D49" s="4">
        <f>AH48</f>
      </c>
      <c r="E49" s="4">
        <f>AI48</f>
      </c>
      <c r="F49" s="4">
        <f>AJ48</f>
      </c>
      <c r="G49" s="4">
        <f>AK48</f>
      </c>
      <c r="H49" s="15">
        <f>$B$8-$B$9</f>
      </c>
      <c r="I49" s="15">
        <f>$B$10-$B$11</f>
      </c>
      <c r="J49" s="15">
        <f>$B$12-$B$13</f>
      </c>
      <c r="K49" s="4">
        <f>D49*H49</f>
      </c>
      <c r="L49" s="4">
        <f>MAX(0,K49)*$B$15</f>
      </c>
      <c r="M49" s="4">
        <f>D49+K49-L49</f>
      </c>
      <c r="N49" s="4">
        <f>E49*(1+I49)</f>
      </c>
      <c r="O49" s="4">
        <f>F49*(1+J49)</f>
      </c>
      <c r="P49" s="4">
        <f>MAX(0,G49+K49-L49)</f>
      </c>
      <c r="Q49" s="16">
        <f>Q48*(1+$B$16)</f>
      </c>
      <c r="R49" s="4">
        <f>IF(C49="A",$B$17*12*IF($B$18=1,Q49,(1+$B$19)^17),0)</f>
      </c>
      <c r="S49" s="4">
        <f>IF(C49="A",0,$B$20*12*IF($B$23=1,Q49,1))</f>
      </c>
      <c r="T49" s="4">
        <f>IF(AND(NOT(C49="A"),B49&gt;=$B$22),$B$21*12*IF($B$23=1,Q49,1),0)</f>
      </c>
      <c r="U49" s="4">
        <f>MAX(0,S49-T49)</f>
      </c>
      <c r="V49" s="4">
        <f>IF(C49="A",M49+$B$5*R49,MAX(0,M49-U49))</f>
      </c>
      <c r="W49" s="15">
        <f>IF(OR(C49="A",M49&gt;=U49,N49+O49&lt;=0),0,MIN(1,(U49-M49)/(N49+O49)))</f>
      </c>
      <c r="X49" s="4">
        <f>IF(C49="A",N49+$B$6*R49,N49*(1-W49))</f>
      </c>
      <c r="Y49" s="4">
        <f>IF(C49="A",O49+$B$7*R49,O49*(1-W49))</f>
      </c>
      <c r="Z49" s="4">
        <f>IF(C49="A",P49+R49,MAX(0,P49-U49))</f>
      </c>
      <c r="AA49" s="4">
        <f>SUMIFS($B$27:$B$28,$A$27:$A$28,"&gt;"&amp;(B49-1),$A$27:$A$28,"&lt;="&amp;B49)</f>
      </c>
      <c r="AB49" s="4">
        <f>IF(AA49&gt;0,V49+$B$5*AA49,IF(AND(AA49&lt;0,(V49+X49+Y49)&gt;0),V49*(1-MIN(1,ABS(AA49)/(V49+X49+Y49))),V49))</f>
      </c>
      <c r="AC49" s="4">
        <f>IF(AA49&gt;0,X49+$B$6*AA49,IF(AND(AA49&lt;0,(V49+X49+Y49)&gt;0),X49*(1-MIN(1,ABS(AA49)/(V49+X49+Y49))),X49))</f>
      </c>
      <c r="AD49" s="4">
        <f>IF(AA49&gt;0,Y49+$B$7*AA49,IF(AND(AA49&lt;0,(V49+X49+Y49)&gt;0),Y49*(1-MIN(1,ABS(AA49)/(V49+X49+Y49))),Y49))</f>
      </c>
      <c r="AE49" s="4">
        <f>IF(AA49&gt;0,Z49+AA49,IF(AA49&lt;0,MAX(0,Z49+AA49),Z49))</f>
      </c>
      <c r="AF49" s="4">
        <f>AB49+AC49+AD49</f>
      </c>
      <c r="AG49" s="4">
        <f>IF(AND(AF49&gt;AE49,AF49&gt;0),(AF49-AE49)*$B$14,0)</f>
      </c>
      <c r="AH49" s="4">
        <f>MAX(0,AB49*IF(AF49&gt;0,(AF49-AG49)/AF49,1))</f>
      </c>
      <c r="AI49" s="4">
        <f>MAX(0,AC49*IF(AF49&gt;0,(AF49-AG49)/AF49,1))</f>
      </c>
      <c r="AJ49" s="4">
        <f>MAX(0,AD49*IF(AF49&gt;0,(AF49-AG49)/AF49,1))</f>
      </c>
      <c r="AK49" s="4">
        <f>IF(AG49&gt;0,AF49-AG49,AE49)</f>
      </c>
      <c r="AL49" s="4">
        <f>AH49+AI49+AJ49</f>
      </c>
      <c r="AM49" s="5">
        <v>323051.2407669372</v>
      </c>
      <c r="AN49" s="6">
        <f>AL49-AM49</f>
      </c>
    </row>
    <row r="50" spans="1:40" x14ac:dyDescent="0.25">
      <c r="A50">
        <v>2044</v>
      </c>
      <c r="B50">
        <v>73</v>
      </c>
      <c r="C50" s="14">
        <f>IF(B50&lt;$B$24,"A","E")</f>
      </c>
      <c r="D50" s="4">
        <f>AH49</f>
      </c>
      <c r="E50" s="4">
        <f>AI49</f>
      </c>
      <c r="F50" s="4">
        <f>AJ49</f>
      </c>
      <c r="G50" s="4">
        <f>AK49</f>
      </c>
      <c r="H50" s="15">
        <f>$B$8-$B$9</f>
      </c>
      <c r="I50" s="15">
        <f>$B$10-$B$11</f>
      </c>
      <c r="J50" s="15">
        <f>$B$12-$B$13</f>
      </c>
      <c r="K50" s="4">
        <f>D50*H50</f>
      </c>
      <c r="L50" s="4">
        <f>MAX(0,K50)*$B$15</f>
      </c>
      <c r="M50" s="4">
        <f>D50+K50-L50</f>
      </c>
      <c r="N50" s="4">
        <f>E50*(1+I50)</f>
      </c>
      <c r="O50" s="4">
        <f>F50*(1+J50)</f>
      </c>
      <c r="P50" s="4">
        <f>MAX(0,G50+K50-L50)</f>
      </c>
      <c r="Q50" s="16">
        <f>Q49*(1+$B$16)</f>
      </c>
      <c r="R50" s="4">
        <f>IF(C50="A",$B$17*12*IF($B$18=1,Q50,(1+$B$19)^18),0)</f>
      </c>
      <c r="S50" s="4">
        <f>IF(C50="A",0,$B$20*12*IF($B$23=1,Q50,1))</f>
      </c>
      <c r="T50" s="4">
        <f>IF(AND(NOT(C50="A"),B50&gt;=$B$22),$B$21*12*IF($B$23=1,Q50,1),0)</f>
      </c>
      <c r="U50" s="4">
        <f>MAX(0,S50-T50)</f>
      </c>
      <c r="V50" s="4">
        <f>IF(C50="A",M50+$B$5*R50,MAX(0,M50-U50))</f>
      </c>
      <c r="W50" s="15">
        <f>IF(OR(C50="A",M50&gt;=U50,N50+O50&lt;=0),0,MIN(1,(U50-M50)/(N50+O50)))</f>
      </c>
      <c r="X50" s="4">
        <f>IF(C50="A",N50+$B$6*R50,N50*(1-W50))</f>
      </c>
      <c r="Y50" s="4">
        <f>IF(C50="A",O50+$B$7*R50,O50*(1-W50))</f>
      </c>
      <c r="Z50" s="4">
        <f>IF(C50="A",P50+R50,MAX(0,P50-U50))</f>
      </c>
      <c r="AA50" s="4">
        <f>SUMIFS($B$27:$B$28,$A$27:$A$28,"&gt;"&amp;(B50-1),$A$27:$A$28,"&lt;="&amp;B50)</f>
      </c>
      <c r="AB50" s="4">
        <f>IF(AA50&gt;0,V50+$B$5*AA50,IF(AND(AA50&lt;0,(V50+X50+Y50)&gt;0),V50*(1-MIN(1,ABS(AA50)/(V50+X50+Y50))),V50))</f>
      </c>
      <c r="AC50" s="4">
        <f>IF(AA50&gt;0,X50+$B$6*AA50,IF(AND(AA50&lt;0,(V50+X50+Y50)&gt;0),X50*(1-MIN(1,ABS(AA50)/(V50+X50+Y50))),X50))</f>
      </c>
      <c r="AD50" s="4">
        <f>IF(AA50&gt;0,Y50+$B$7*AA50,IF(AND(AA50&lt;0,(V50+X50+Y50)&gt;0),Y50*(1-MIN(1,ABS(AA50)/(V50+X50+Y50))),Y50))</f>
      </c>
      <c r="AE50" s="4">
        <f>IF(AA50&gt;0,Z50+AA50,IF(AA50&lt;0,MAX(0,Z50+AA50),Z50))</f>
      </c>
      <c r="AF50" s="4">
        <f>AB50+AC50+AD50</f>
      </c>
      <c r="AG50" s="4">
        <f>IF(AND(AF50&gt;AE50,AF50&gt;0),(AF50-AE50)*$B$14,0)</f>
      </c>
      <c r="AH50" s="4">
        <f>MAX(0,AB50*IF(AF50&gt;0,(AF50-AG50)/AF50,1))</f>
      </c>
      <c r="AI50" s="4">
        <f>MAX(0,AC50*IF(AF50&gt;0,(AF50-AG50)/AF50,1))</f>
      </c>
      <c r="AJ50" s="4">
        <f>MAX(0,AD50*IF(AF50&gt;0,(AF50-AG50)/AF50,1))</f>
      </c>
      <c r="AK50" s="4">
        <f>IF(AG50&gt;0,AF50-AG50,AE50)</f>
      </c>
      <c r="AL50" s="4">
        <f>AH50+AI50+AJ50</f>
      </c>
      <c r="AM50" s="5">
        <v>314954.8281081185</v>
      </c>
      <c r="AN50" s="6">
        <f>AL50-AM50</f>
      </c>
    </row>
    <row r="51" spans="1:40" x14ac:dyDescent="0.25">
      <c r="A51">
        <v>2045</v>
      </c>
      <c r="B51">
        <v>74</v>
      </c>
      <c r="C51" s="14">
        <f>IF(B51&lt;$B$24,"A","E")</f>
      </c>
      <c r="D51" s="4">
        <f>AH50</f>
      </c>
      <c r="E51" s="4">
        <f>AI50</f>
      </c>
      <c r="F51" s="4">
        <f>AJ50</f>
      </c>
      <c r="G51" s="4">
        <f>AK50</f>
      </c>
      <c r="H51" s="15">
        <f>$B$8-$B$9</f>
      </c>
      <c r="I51" s="15">
        <f>$B$10-$B$11</f>
      </c>
      <c r="J51" s="15">
        <f>$B$12-$B$13</f>
      </c>
      <c r="K51" s="4">
        <f>D51*H51</f>
      </c>
      <c r="L51" s="4">
        <f>MAX(0,K51)*$B$15</f>
      </c>
      <c r="M51" s="4">
        <f>D51+K51-L51</f>
      </c>
      <c r="N51" s="4">
        <f>E51*(1+I51)</f>
      </c>
      <c r="O51" s="4">
        <f>F51*(1+J51)</f>
      </c>
      <c r="P51" s="4">
        <f>MAX(0,G51+K51-L51)</f>
      </c>
      <c r="Q51" s="16">
        <f>Q50*(1+$B$16)</f>
      </c>
      <c r="R51" s="4">
        <f>IF(C51="A",$B$17*12*IF($B$18=1,Q51,(1+$B$19)^19),0)</f>
      </c>
      <c r="S51" s="4">
        <f>IF(C51="A",0,$B$20*12*IF($B$23=1,Q51,1))</f>
      </c>
      <c r="T51" s="4">
        <f>IF(AND(NOT(C51="A"),B51&gt;=$B$22),$B$21*12*IF($B$23=1,Q51,1),0)</f>
      </c>
      <c r="U51" s="4">
        <f>MAX(0,S51-T51)</f>
      </c>
      <c r="V51" s="4">
        <f>IF(C51="A",M51+$B$5*R51,MAX(0,M51-U51))</f>
      </c>
      <c r="W51" s="15">
        <f>IF(OR(C51="A",M51&gt;=U51,N51+O51&lt;=0),0,MIN(1,(U51-M51)/(N51+O51)))</f>
      </c>
      <c r="X51" s="4">
        <f>IF(C51="A",N51+$B$6*R51,N51*(1-W51))</f>
      </c>
      <c r="Y51" s="4">
        <f>IF(C51="A",O51+$B$7*R51,O51*(1-W51))</f>
      </c>
      <c r="Z51" s="4">
        <f>IF(C51="A",P51+R51,MAX(0,P51-U51))</f>
      </c>
      <c r="AA51" s="4">
        <f>SUMIFS($B$27:$B$28,$A$27:$A$28,"&gt;"&amp;(B51-1),$A$27:$A$28,"&lt;="&amp;B51)</f>
      </c>
      <c r="AB51" s="4">
        <f>IF(AA51&gt;0,V51+$B$5*AA51,IF(AND(AA51&lt;0,(V51+X51+Y51)&gt;0),V51*(1-MIN(1,ABS(AA51)/(V51+X51+Y51))),V51))</f>
      </c>
      <c r="AC51" s="4">
        <f>IF(AA51&gt;0,X51+$B$6*AA51,IF(AND(AA51&lt;0,(V51+X51+Y51)&gt;0),X51*(1-MIN(1,ABS(AA51)/(V51+X51+Y51))),X51))</f>
      </c>
      <c r="AD51" s="4">
        <f>IF(AA51&gt;0,Y51+$B$7*AA51,IF(AND(AA51&lt;0,(V51+X51+Y51)&gt;0),Y51*(1-MIN(1,ABS(AA51)/(V51+X51+Y51))),Y51))</f>
      </c>
      <c r="AE51" s="4">
        <f>IF(AA51&gt;0,Z51+AA51,IF(AA51&lt;0,MAX(0,Z51+AA51),Z51))</f>
      </c>
      <c r="AF51" s="4">
        <f>AB51+AC51+AD51</f>
      </c>
      <c r="AG51" s="4">
        <f>IF(AND(AF51&gt;AE51,AF51&gt;0),(AF51-AE51)*$B$14,0)</f>
      </c>
      <c r="AH51" s="4">
        <f>MAX(0,AB51*IF(AF51&gt;0,(AF51-AG51)/AF51,1))</f>
      </c>
      <c r="AI51" s="4">
        <f>MAX(0,AC51*IF(AF51&gt;0,(AF51-AG51)/AF51,1))</f>
      </c>
      <c r="AJ51" s="4">
        <f>MAX(0,AD51*IF(AF51&gt;0,(AF51-AG51)/AF51,1))</f>
      </c>
      <c r="AK51" s="4">
        <f>IF(AG51&gt;0,AF51-AG51,AE51)</f>
      </c>
      <c r="AL51" s="4">
        <f>AH51+AI51+AJ51</f>
      </c>
      <c r="AM51" s="5">
        <v>306116.00937684136</v>
      </c>
      <c r="AN51" s="6">
        <f>AL51-AM51</f>
      </c>
    </row>
    <row r="52" spans="1:40" x14ac:dyDescent="0.25">
      <c r="A52">
        <v>2046</v>
      </c>
      <c r="B52">
        <v>75</v>
      </c>
      <c r="C52" s="14">
        <f>IF(B52&lt;$B$24,"A","E")</f>
      </c>
      <c r="D52" s="4">
        <f>AH51</f>
      </c>
      <c r="E52" s="4">
        <f>AI51</f>
      </c>
      <c r="F52" s="4">
        <f>AJ51</f>
      </c>
      <c r="G52" s="4">
        <f>AK51</f>
      </c>
      <c r="H52" s="15">
        <f>$B$8-$B$9</f>
      </c>
      <c r="I52" s="15">
        <f>$B$10-$B$11</f>
      </c>
      <c r="J52" s="15">
        <f>$B$12-$B$13</f>
      </c>
      <c r="K52" s="4">
        <f>D52*H52</f>
      </c>
      <c r="L52" s="4">
        <f>MAX(0,K52)*$B$15</f>
      </c>
      <c r="M52" s="4">
        <f>D52+K52-L52</f>
      </c>
      <c r="N52" s="4">
        <f>E52*(1+I52)</f>
      </c>
      <c r="O52" s="4">
        <f>F52*(1+J52)</f>
      </c>
      <c r="P52" s="4">
        <f>MAX(0,G52+K52-L52)</f>
      </c>
      <c r="Q52" s="16">
        <f>Q51*(1+$B$16)</f>
      </c>
      <c r="R52" s="4">
        <f>IF(C52="A",$B$17*12*IF($B$18=1,Q52,(1+$B$19)^20),0)</f>
      </c>
      <c r="S52" s="4">
        <f>IF(C52="A",0,$B$20*12*IF($B$23=1,Q52,1))</f>
      </c>
      <c r="T52" s="4">
        <f>IF(AND(NOT(C52="A"),B52&gt;=$B$22),$B$21*12*IF($B$23=1,Q52,1),0)</f>
      </c>
      <c r="U52" s="4">
        <f>MAX(0,S52-T52)</f>
      </c>
      <c r="V52" s="4">
        <f>IF(C52="A",M52+$B$5*R52,MAX(0,M52-U52))</f>
      </c>
      <c r="W52" s="15">
        <f>IF(OR(C52="A",M52&gt;=U52,N52+O52&lt;=0),0,MIN(1,(U52-M52)/(N52+O52)))</f>
      </c>
      <c r="X52" s="4">
        <f>IF(C52="A",N52+$B$6*R52,N52*(1-W52))</f>
      </c>
      <c r="Y52" s="4">
        <f>IF(C52="A",O52+$B$7*R52,O52*(1-W52))</f>
      </c>
      <c r="Z52" s="4">
        <f>IF(C52="A",P52+R52,MAX(0,P52-U52))</f>
      </c>
      <c r="AA52" s="4">
        <f>SUMIFS($B$27:$B$28,$A$27:$A$28,"&gt;"&amp;(B52-1),$A$27:$A$28,"&lt;="&amp;B52)</f>
      </c>
      <c r="AB52" s="4">
        <f>IF(AA52&gt;0,V52+$B$5*AA52,IF(AND(AA52&lt;0,(V52+X52+Y52)&gt;0),V52*(1-MIN(1,ABS(AA52)/(V52+X52+Y52))),V52))</f>
      </c>
      <c r="AC52" s="4">
        <f>IF(AA52&gt;0,X52+$B$6*AA52,IF(AND(AA52&lt;0,(V52+X52+Y52)&gt;0),X52*(1-MIN(1,ABS(AA52)/(V52+X52+Y52))),X52))</f>
      </c>
      <c r="AD52" s="4">
        <f>IF(AA52&gt;0,Y52+$B$7*AA52,IF(AND(AA52&lt;0,(V52+X52+Y52)&gt;0),Y52*(1-MIN(1,ABS(AA52)/(V52+X52+Y52))),Y52))</f>
      </c>
      <c r="AE52" s="4">
        <f>IF(AA52&gt;0,Z52+AA52,IF(AA52&lt;0,MAX(0,Z52+AA52),Z52))</f>
      </c>
      <c r="AF52" s="4">
        <f>AB52+AC52+AD52</f>
      </c>
      <c r="AG52" s="4">
        <f>IF(AND(AF52&gt;AE52,AF52&gt;0),(AF52-AE52)*$B$14,0)</f>
      </c>
      <c r="AH52" s="4">
        <f>MAX(0,AB52*IF(AF52&gt;0,(AF52-AG52)/AF52,1))</f>
      </c>
      <c r="AI52" s="4">
        <f>MAX(0,AC52*IF(AF52&gt;0,(AF52-AG52)/AF52,1))</f>
      </c>
      <c r="AJ52" s="4">
        <f>MAX(0,AD52*IF(AF52&gt;0,(AF52-AG52)/AF52,1))</f>
      </c>
      <c r="AK52" s="4">
        <f>IF(AG52&gt;0,AF52-AG52,AE52)</f>
      </c>
      <c r="AL52" s="4">
        <f>AH52+AI52+AJ52</f>
      </c>
      <c r="AM52" s="5">
        <v>296496.7898986128</v>
      </c>
      <c r="AN52" s="6">
        <f>AL52-AM52</f>
      </c>
    </row>
    <row r="53" spans="1:40" x14ac:dyDescent="0.25">
      <c r="A53">
        <v>2047</v>
      </c>
      <c r="B53">
        <v>76</v>
      </c>
      <c r="C53" s="14">
        <f>IF(B53&lt;$B$24,"A","E")</f>
      </c>
      <c r="D53" s="4">
        <f>AH52</f>
      </c>
      <c r="E53" s="4">
        <f>AI52</f>
      </c>
      <c r="F53" s="4">
        <f>AJ52</f>
      </c>
      <c r="G53" s="4">
        <f>AK52</f>
      </c>
      <c r="H53" s="15">
        <f>$B$8-$B$9</f>
      </c>
      <c r="I53" s="15">
        <f>$B$10-$B$11</f>
      </c>
      <c r="J53" s="15">
        <f>$B$12-$B$13</f>
      </c>
      <c r="K53" s="4">
        <f>D53*H53</f>
      </c>
      <c r="L53" s="4">
        <f>MAX(0,K53)*$B$15</f>
      </c>
      <c r="M53" s="4">
        <f>D53+K53-L53</f>
      </c>
      <c r="N53" s="4">
        <f>E53*(1+I53)</f>
      </c>
      <c r="O53" s="4">
        <f>F53*(1+J53)</f>
      </c>
      <c r="P53" s="4">
        <f>MAX(0,G53+K53-L53)</f>
      </c>
      <c r="Q53" s="16">
        <f>Q52*(1+$B$16)</f>
      </c>
      <c r="R53" s="4">
        <f>IF(C53="A",$B$17*12*IF($B$18=1,Q53,(1+$B$19)^21),0)</f>
      </c>
      <c r="S53" s="4">
        <f>IF(C53="A",0,$B$20*12*IF($B$23=1,Q53,1))</f>
      </c>
      <c r="T53" s="4">
        <f>IF(AND(NOT(C53="A"),B53&gt;=$B$22),$B$21*12*IF($B$23=1,Q53,1),0)</f>
      </c>
      <c r="U53" s="4">
        <f>MAX(0,S53-T53)</f>
      </c>
      <c r="V53" s="4">
        <f>IF(C53="A",M53+$B$5*R53,MAX(0,M53-U53))</f>
      </c>
      <c r="W53" s="15">
        <f>IF(OR(C53="A",M53&gt;=U53,N53+O53&lt;=0),0,MIN(1,(U53-M53)/(N53+O53)))</f>
      </c>
      <c r="X53" s="4">
        <f>IF(C53="A",N53+$B$6*R53,N53*(1-W53))</f>
      </c>
      <c r="Y53" s="4">
        <f>IF(C53="A",O53+$B$7*R53,O53*(1-W53))</f>
      </c>
      <c r="Z53" s="4">
        <f>IF(C53="A",P53+R53,MAX(0,P53-U53))</f>
      </c>
      <c r="AA53" s="4">
        <f>SUMIFS($B$27:$B$28,$A$27:$A$28,"&gt;"&amp;(B53-1),$A$27:$A$28,"&lt;="&amp;B53)</f>
      </c>
      <c r="AB53" s="4">
        <f>IF(AA53&gt;0,V53+$B$5*AA53,IF(AND(AA53&lt;0,(V53+X53+Y53)&gt;0),V53*(1-MIN(1,ABS(AA53)/(V53+X53+Y53))),V53))</f>
      </c>
      <c r="AC53" s="4">
        <f>IF(AA53&gt;0,X53+$B$6*AA53,IF(AND(AA53&lt;0,(V53+X53+Y53)&gt;0),X53*(1-MIN(1,ABS(AA53)/(V53+X53+Y53))),X53))</f>
      </c>
      <c r="AD53" s="4">
        <f>IF(AA53&gt;0,Y53+$B$7*AA53,IF(AND(AA53&lt;0,(V53+X53+Y53)&gt;0),Y53*(1-MIN(1,ABS(AA53)/(V53+X53+Y53))),Y53))</f>
      </c>
      <c r="AE53" s="4">
        <f>IF(AA53&gt;0,Z53+AA53,IF(AA53&lt;0,MAX(0,Z53+AA53),Z53))</f>
      </c>
      <c r="AF53" s="4">
        <f>AB53+AC53+AD53</f>
      </c>
      <c r="AG53" s="4">
        <f>IF(AND(AF53&gt;AE53,AF53&gt;0),(AF53-AE53)*$B$14,0)</f>
      </c>
      <c r="AH53" s="4">
        <f>MAX(0,AB53*IF(AF53&gt;0,(AF53-AG53)/AF53,1))</f>
      </c>
      <c r="AI53" s="4">
        <f>MAX(0,AC53*IF(AF53&gt;0,(AF53-AG53)/AF53,1))</f>
      </c>
      <c r="AJ53" s="4">
        <f>MAX(0,AD53*IF(AF53&gt;0,(AF53-AG53)/AF53,1))</f>
      </c>
      <c r="AK53" s="4">
        <f>IF(AG53&gt;0,AF53-AG53,AE53)</f>
      </c>
      <c r="AL53" s="4">
        <f>AH53+AI53+AJ53</f>
      </c>
      <c r="AM53" s="5">
        <v>286057.4921366473</v>
      </c>
      <c r="AN53" s="6">
        <f>AL53-AM53</f>
      </c>
    </row>
    <row r="54" spans="1:40" x14ac:dyDescent="0.25">
      <c r="A54">
        <v>2048</v>
      </c>
      <c r="B54">
        <v>77</v>
      </c>
      <c r="C54" s="14">
        <f>IF(B54&lt;$B$24,"A","E")</f>
      </c>
      <c r="D54" s="4">
        <f>AH53</f>
      </c>
      <c r="E54" s="4">
        <f>AI53</f>
      </c>
      <c r="F54" s="4">
        <f>AJ53</f>
      </c>
      <c r="G54" s="4">
        <f>AK53</f>
      </c>
      <c r="H54" s="15">
        <f>$B$8-$B$9</f>
      </c>
      <c r="I54" s="15">
        <f>$B$10-$B$11</f>
      </c>
      <c r="J54" s="15">
        <f>$B$12-$B$13</f>
      </c>
      <c r="K54" s="4">
        <f>D54*H54</f>
      </c>
      <c r="L54" s="4">
        <f>MAX(0,K54)*$B$15</f>
      </c>
      <c r="M54" s="4">
        <f>D54+K54-L54</f>
      </c>
      <c r="N54" s="4">
        <f>E54*(1+I54)</f>
      </c>
      <c r="O54" s="4">
        <f>F54*(1+J54)</f>
      </c>
      <c r="P54" s="4">
        <f>MAX(0,G54+K54-L54)</f>
      </c>
      <c r="Q54" s="16">
        <f>Q53*(1+$B$16)</f>
      </c>
      <c r="R54" s="4">
        <f>IF(C54="A",$B$17*12*IF($B$18=1,Q54,(1+$B$19)^22),0)</f>
      </c>
      <c r="S54" s="4">
        <f>IF(C54="A",0,$B$20*12*IF($B$23=1,Q54,1))</f>
      </c>
      <c r="T54" s="4">
        <f>IF(AND(NOT(C54="A"),B54&gt;=$B$22),$B$21*12*IF($B$23=1,Q54,1),0)</f>
      </c>
      <c r="U54" s="4">
        <f>MAX(0,S54-T54)</f>
      </c>
      <c r="V54" s="4">
        <f>IF(C54="A",M54+$B$5*R54,MAX(0,M54-U54))</f>
      </c>
      <c r="W54" s="15">
        <f>IF(OR(C54="A",M54&gt;=U54,N54+O54&lt;=0),0,MIN(1,(U54-M54)/(N54+O54)))</f>
      </c>
      <c r="X54" s="4">
        <f>IF(C54="A",N54+$B$6*R54,N54*(1-W54))</f>
      </c>
      <c r="Y54" s="4">
        <f>IF(C54="A",O54+$B$7*R54,O54*(1-W54))</f>
      </c>
      <c r="Z54" s="4">
        <f>IF(C54="A",P54+R54,MAX(0,P54-U54))</f>
      </c>
      <c r="AA54" s="4">
        <f>SUMIFS($B$27:$B$28,$A$27:$A$28,"&gt;"&amp;(B54-1),$A$27:$A$28,"&lt;="&amp;B54)</f>
      </c>
      <c r="AB54" s="4">
        <f>IF(AA54&gt;0,V54+$B$5*AA54,IF(AND(AA54&lt;0,(V54+X54+Y54)&gt;0),V54*(1-MIN(1,ABS(AA54)/(V54+X54+Y54))),V54))</f>
      </c>
      <c r="AC54" s="4">
        <f>IF(AA54&gt;0,X54+$B$6*AA54,IF(AND(AA54&lt;0,(V54+X54+Y54)&gt;0),X54*(1-MIN(1,ABS(AA54)/(V54+X54+Y54))),X54))</f>
      </c>
      <c r="AD54" s="4">
        <f>IF(AA54&gt;0,Y54+$B$7*AA54,IF(AND(AA54&lt;0,(V54+X54+Y54)&gt;0),Y54*(1-MIN(1,ABS(AA54)/(V54+X54+Y54))),Y54))</f>
      </c>
      <c r="AE54" s="4">
        <f>IF(AA54&gt;0,Z54+AA54,IF(AA54&lt;0,MAX(0,Z54+AA54),Z54))</f>
      </c>
      <c r="AF54" s="4">
        <f>AB54+AC54+AD54</f>
      </c>
      <c r="AG54" s="4">
        <f>IF(AND(AF54&gt;AE54,AF54&gt;0),(AF54-AE54)*$B$14,0)</f>
      </c>
      <c r="AH54" s="4">
        <f>MAX(0,AB54*IF(AF54&gt;0,(AF54-AG54)/AF54,1))</f>
      </c>
      <c r="AI54" s="4">
        <f>MAX(0,AC54*IF(AF54&gt;0,(AF54-AG54)/AF54,1))</f>
      </c>
      <c r="AJ54" s="4">
        <f>MAX(0,AD54*IF(AF54&gt;0,(AF54-AG54)/AF54,1))</f>
      </c>
      <c r="AK54" s="4">
        <f>IF(AG54&gt;0,AF54-AG54,AE54)</f>
      </c>
      <c r="AL54" s="4">
        <f>AH54+AI54+AJ54</f>
      </c>
      <c r="AM54" s="5">
        <v>274756.68523123994</v>
      </c>
      <c r="AN54" s="6">
        <f>AL54-AM54</f>
      </c>
    </row>
    <row r="55" spans="1:40" x14ac:dyDescent="0.25">
      <c r="A55">
        <v>2049</v>
      </c>
      <c r="B55">
        <v>78</v>
      </c>
      <c r="C55" s="14">
        <f>IF(B55&lt;$B$24,"A","E")</f>
      </c>
      <c r="D55" s="4">
        <f>AH54</f>
      </c>
      <c r="E55" s="4">
        <f>AI54</f>
      </c>
      <c r="F55" s="4">
        <f>AJ54</f>
      </c>
      <c r="G55" s="4">
        <f>AK54</f>
      </c>
      <c r="H55" s="15">
        <f>$B$8-$B$9</f>
      </c>
      <c r="I55" s="15">
        <f>$B$10-$B$11</f>
      </c>
      <c r="J55" s="15">
        <f>$B$12-$B$13</f>
      </c>
      <c r="K55" s="4">
        <f>D55*H55</f>
      </c>
      <c r="L55" s="4">
        <f>MAX(0,K55)*$B$15</f>
      </c>
      <c r="M55" s="4">
        <f>D55+K55-L55</f>
      </c>
      <c r="N55" s="4">
        <f>E55*(1+I55)</f>
      </c>
      <c r="O55" s="4">
        <f>F55*(1+J55)</f>
      </c>
      <c r="P55" s="4">
        <f>MAX(0,G55+K55-L55)</f>
      </c>
      <c r="Q55" s="16">
        <f>Q54*(1+$B$16)</f>
      </c>
      <c r="R55" s="4">
        <f>IF(C55="A",$B$17*12*IF($B$18=1,Q55,(1+$B$19)^23),0)</f>
      </c>
      <c r="S55" s="4">
        <f>IF(C55="A",0,$B$20*12*IF($B$23=1,Q55,1))</f>
      </c>
      <c r="T55" s="4">
        <f>IF(AND(NOT(C55="A"),B55&gt;=$B$22),$B$21*12*IF($B$23=1,Q55,1),0)</f>
      </c>
      <c r="U55" s="4">
        <f>MAX(0,S55-T55)</f>
      </c>
      <c r="V55" s="4">
        <f>IF(C55="A",M55+$B$5*R55,MAX(0,M55-U55))</f>
      </c>
      <c r="W55" s="15">
        <f>IF(OR(C55="A",M55&gt;=U55,N55+O55&lt;=0),0,MIN(1,(U55-M55)/(N55+O55)))</f>
      </c>
      <c r="X55" s="4">
        <f>IF(C55="A",N55+$B$6*R55,N55*(1-W55))</f>
      </c>
      <c r="Y55" s="4">
        <f>IF(C55="A",O55+$B$7*R55,O55*(1-W55))</f>
      </c>
      <c r="Z55" s="4">
        <f>IF(C55="A",P55+R55,MAX(0,P55-U55))</f>
      </c>
      <c r="AA55" s="4">
        <f>SUMIFS($B$27:$B$28,$A$27:$A$28,"&gt;"&amp;(B55-1),$A$27:$A$28,"&lt;="&amp;B55)</f>
      </c>
      <c r="AB55" s="4">
        <f>IF(AA55&gt;0,V55+$B$5*AA55,IF(AND(AA55&lt;0,(V55+X55+Y55)&gt;0),V55*(1-MIN(1,ABS(AA55)/(V55+X55+Y55))),V55))</f>
      </c>
      <c r="AC55" s="4">
        <f>IF(AA55&gt;0,X55+$B$6*AA55,IF(AND(AA55&lt;0,(V55+X55+Y55)&gt;0),X55*(1-MIN(1,ABS(AA55)/(V55+X55+Y55))),X55))</f>
      </c>
      <c r="AD55" s="4">
        <f>IF(AA55&gt;0,Y55+$B$7*AA55,IF(AND(AA55&lt;0,(V55+X55+Y55)&gt;0),Y55*(1-MIN(1,ABS(AA55)/(V55+X55+Y55))),Y55))</f>
      </c>
      <c r="AE55" s="4">
        <f>IF(AA55&gt;0,Z55+AA55,IF(AA55&lt;0,MAX(0,Z55+AA55),Z55))</f>
      </c>
      <c r="AF55" s="4">
        <f>AB55+AC55+AD55</f>
      </c>
      <c r="AG55" s="4">
        <f>IF(AND(AF55&gt;AE55,AF55&gt;0),(AF55-AE55)*$B$14,0)</f>
      </c>
      <c r="AH55" s="4">
        <f>MAX(0,AB55*IF(AF55&gt;0,(AF55-AG55)/AF55,1))</f>
      </c>
      <c r="AI55" s="4">
        <f>MAX(0,AC55*IF(AF55&gt;0,(AF55-AG55)/AF55,1))</f>
      </c>
      <c r="AJ55" s="4">
        <f>MAX(0,AD55*IF(AF55&gt;0,(AF55-AG55)/AF55,1))</f>
      </c>
      <c r="AK55" s="4">
        <f>IF(AG55&gt;0,AF55-AG55,AE55)</f>
      </c>
      <c r="AL55" s="4">
        <f>AH55+AI55+AJ55</f>
      </c>
      <c r="AM55" s="5">
        <v>262551.1116623924</v>
      </c>
      <c r="AN55" s="6">
        <f>AL55-AM55</f>
      </c>
    </row>
    <row r="56" spans="1:40" x14ac:dyDescent="0.25">
      <c r="A56">
        <v>2050</v>
      </c>
      <c r="B56">
        <v>79</v>
      </c>
      <c r="C56" s="14">
        <f>IF(B56&lt;$B$24,"A","E")</f>
      </c>
      <c r="D56" s="4">
        <f>AH55</f>
      </c>
      <c r="E56" s="4">
        <f>AI55</f>
      </c>
      <c r="F56" s="4">
        <f>AJ55</f>
      </c>
      <c r="G56" s="4">
        <f>AK55</f>
      </c>
      <c r="H56" s="15">
        <f>$B$8-$B$9</f>
      </c>
      <c r="I56" s="15">
        <f>$B$10-$B$11</f>
      </c>
      <c r="J56" s="15">
        <f>$B$12-$B$13</f>
      </c>
      <c r="K56" s="4">
        <f>D56*H56</f>
      </c>
      <c r="L56" s="4">
        <f>MAX(0,K56)*$B$15</f>
      </c>
      <c r="M56" s="4">
        <f>D56+K56-L56</f>
      </c>
      <c r="N56" s="4">
        <f>E56*(1+I56)</f>
      </c>
      <c r="O56" s="4">
        <f>F56*(1+J56)</f>
      </c>
      <c r="P56" s="4">
        <f>MAX(0,G56+K56-L56)</f>
      </c>
      <c r="Q56" s="16">
        <f>Q55*(1+$B$16)</f>
      </c>
      <c r="R56" s="4">
        <f>IF(C56="A",$B$17*12*IF($B$18=1,Q56,(1+$B$19)^24),0)</f>
      </c>
      <c r="S56" s="4">
        <f>IF(C56="A",0,$B$20*12*IF($B$23=1,Q56,1))</f>
      </c>
      <c r="T56" s="4">
        <f>IF(AND(NOT(C56="A"),B56&gt;=$B$22),$B$21*12*IF($B$23=1,Q56,1),0)</f>
      </c>
      <c r="U56" s="4">
        <f>MAX(0,S56-T56)</f>
      </c>
      <c r="V56" s="4">
        <f>IF(C56="A",M56+$B$5*R56,MAX(0,M56-U56))</f>
      </c>
      <c r="W56" s="15">
        <f>IF(OR(C56="A",M56&gt;=U56,N56+O56&lt;=0),0,MIN(1,(U56-M56)/(N56+O56)))</f>
      </c>
      <c r="X56" s="4">
        <f>IF(C56="A",N56+$B$6*R56,N56*(1-W56))</f>
      </c>
      <c r="Y56" s="4">
        <f>IF(C56="A",O56+$B$7*R56,O56*(1-W56))</f>
      </c>
      <c r="Z56" s="4">
        <f>IF(C56="A",P56+R56,MAX(0,P56-U56))</f>
      </c>
      <c r="AA56" s="4">
        <f>SUMIFS($B$27:$B$28,$A$27:$A$28,"&gt;"&amp;(B56-1),$A$27:$A$28,"&lt;="&amp;B56)</f>
      </c>
      <c r="AB56" s="4">
        <f>IF(AA56&gt;0,V56+$B$5*AA56,IF(AND(AA56&lt;0,(V56+X56+Y56)&gt;0),V56*(1-MIN(1,ABS(AA56)/(V56+X56+Y56))),V56))</f>
      </c>
      <c r="AC56" s="4">
        <f>IF(AA56&gt;0,X56+$B$6*AA56,IF(AND(AA56&lt;0,(V56+X56+Y56)&gt;0),X56*(1-MIN(1,ABS(AA56)/(V56+X56+Y56))),X56))</f>
      </c>
      <c r="AD56" s="4">
        <f>IF(AA56&gt;0,Y56+$B$7*AA56,IF(AND(AA56&lt;0,(V56+X56+Y56)&gt;0),Y56*(1-MIN(1,ABS(AA56)/(V56+X56+Y56))),Y56))</f>
      </c>
      <c r="AE56" s="4">
        <f>IF(AA56&gt;0,Z56+AA56,IF(AA56&lt;0,MAX(0,Z56+AA56),Z56))</f>
      </c>
      <c r="AF56" s="4">
        <f>AB56+AC56+AD56</f>
      </c>
      <c r="AG56" s="4">
        <f>IF(AND(AF56&gt;AE56,AF56&gt;0),(AF56-AE56)*$B$14,0)</f>
      </c>
      <c r="AH56" s="4">
        <f>MAX(0,AB56*IF(AF56&gt;0,(AF56-AG56)/AF56,1))</f>
      </c>
      <c r="AI56" s="4">
        <f>MAX(0,AC56*IF(AF56&gt;0,(AF56-AG56)/AF56,1))</f>
      </c>
      <c r="AJ56" s="4">
        <f>MAX(0,AD56*IF(AF56&gt;0,(AF56-AG56)/AF56,1))</f>
      </c>
      <c r="AK56" s="4">
        <f>IF(AG56&gt;0,AF56-AG56,AE56)</f>
      </c>
      <c r="AL56" s="4">
        <f>AH56+AI56+AJ56</f>
      </c>
      <c r="AM56" s="5">
        <v>249395.61091963816</v>
      </c>
      <c r="AN56" s="6">
        <f>AL56-AM56</f>
      </c>
    </row>
    <row r="57" spans="1:40" x14ac:dyDescent="0.25">
      <c r="A57">
        <v>2051</v>
      </c>
      <c r="B57">
        <v>80</v>
      </c>
      <c r="C57" s="14">
        <f>IF(B57&lt;$B$24,"A","E")</f>
      </c>
      <c r="D57" s="4">
        <f>AH56</f>
      </c>
      <c r="E57" s="4">
        <f>AI56</f>
      </c>
      <c r="F57" s="4">
        <f>AJ56</f>
      </c>
      <c r="G57" s="4">
        <f>AK56</f>
      </c>
      <c r="H57" s="15">
        <f>$B$8-$B$9</f>
      </c>
      <c r="I57" s="15">
        <f>$B$10-$B$11</f>
      </c>
      <c r="J57" s="15">
        <f>$B$12-$B$13</f>
      </c>
      <c r="K57" s="4">
        <f>D57*H57</f>
      </c>
      <c r="L57" s="4">
        <f>MAX(0,K57)*$B$15</f>
      </c>
      <c r="M57" s="4">
        <f>D57+K57-L57</f>
      </c>
      <c r="N57" s="4">
        <f>E57*(1+I57)</f>
      </c>
      <c r="O57" s="4">
        <f>F57*(1+J57)</f>
      </c>
      <c r="P57" s="4">
        <f>MAX(0,G57+K57-L57)</f>
      </c>
      <c r="Q57" s="16">
        <f>Q56*(1+$B$16)</f>
      </c>
      <c r="R57" s="4">
        <f>IF(C57="A",$B$17*12*IF($B$18=1,Q57,(1+$B$19)^25),0)</f>
      </c>
      <c r="S57" s="4">
        <f>IF(C57="A",0,$B$20*12*IF($B$23=1,Q57,1))</f>
      </c>
      <c r="T57" s="4">
        <f>IF(AND(NOT(C57="A"),B57&gt;=$B$22),$B$21*12*IF($B$23=1,Q57,1),0)</f>
      </c>
      <c r="U57" s="4">
        <f>MAX(0,S57-T57)</f>
      </c>
      <c r="V57" s="4">
        <f>IF(C57="A",M57+$B$5*R57,MAX(0,M57-U57))</f>
      </c>
      <c r="W57" s="15">
        <f>IF(OR(C57="A",M57&gt;=U57,N57+O57&lt;=0),0,MIN(1,(U57-M57)/(N57+O57)))</f>
      </c>
      <c r="X57" s="4">
        <f>IF(C57="A",N57+$B$6*R57,N57*(1-W57))</f>
      </c>
      <c r="Y57" s="4">
        <f>IF(C57="A",O57+$B$7*R57,O57*(1-W57))</f>
      </c>
      <c r="Z57" s="4">
        <f>IF(C57="A",P57+R57,MAX(0,P57-U57))</f>
      </c>
      <c r="AA57" s="4">
        <f>SUMIFS($B$27:$B$28,$A$27:$A$28,"&gt;"&amp;(B57-1),$A$27:$A$28,"&lt;="&amp;B57)</f>
      </c>
      <c r="AB57" s="4">
        <f>IF(AA57&gt;0,V57+$B$5*AA57,IF(AND(AA57&lt;0,(V57+X57+Y57)&gt;0),V57*(1-MIN(1,ABS(AA57)/(V57+X57+Y57))),V57))</f>
      </c>
      <c r="AC57" s="4">
        <f>IF(AA57&gt;0,X57+$B$6*AA57,IF(AND(AA57&lt;0,(V57+X57+Y57)&gt;0),X57*(1-MIN(1,ABS(AA57)/(V57+X57+Y57))),X57))</f>
      </c>
      <c r="AD57" s="4">
        <f>IF(AA57&gt;0,Y57+$B$7*AA57,IF(AND(AA57&lt;0,(V57+X57+Y57)&gt;0),Y57*(1-MIN(1,ABS(AA57)/(V57+X57+Y57))),Y57))</f>
      </c>
      <c r="AE57" s="4">
        <f>IF(AA57&gt;0,Z57+AA57,IF(AA57&lt;0,MAX(0,Z57+AA57),Z57))</f>
      </c>
      <c r="AF57" s="4">
        <f>AB57+AC57+AD57</f>
      </c>
      <c r="AG57" s="4">
        <f>IF(AND(AF57&gt;AE57,AF57&gt;0),(AF57-AE57)*$B$14,0)</f>
      </c>
      <c r="AH57" s="4">
        <f>MAX(0,AB57*IF(AF57&gt;0,(AF57-AG57)/AF57,1))</f>
      </c>
      <c r="AI57" s="4">
        <f>MAX(0,AC57*IF(AF57&gt;0,(AF57-AG57)/AF57,1))</f>
      </c>
      <c r="AJ57" s="4">
        <f>MAX(0,AD57*IF(AF57&gt;0,(AF57-AG57)/AF57,1))</f>
      </c>
      <c r="AK57" s="4">
        <f>IF(AG57&gt;0,AF57-AG57,AE57)</f>
      </c>
      <c r="AL57" s="4">
        <f>AH57+AI57+AJ57</f>
      </c>
      <c r="AM57" s="5">
        <v>235243.04005836073</v>
      </c>
      <c r="AN57" s="6">
        <f>AL57-AM57</f>
      </c>
    </row>
    <row r="58" spans="1:40" x14ac:dyDescent="0.25">
      <c r="A58">
        <v>2052</v>
      </c>
      <c r="B58">
        <v>81</v>
      </c>
      <c r="C58" s="14">
        <f>IF(B58&lt;$B$24,"A","E")</f>
      </c>
      <c r="D58" s="4">
        <f>AH57</f>
      </c>
      <c r="E58" s="4">
        <f>AI57</f>
      </c>
      <c r="F58" s="4">
        <f>AJ57</f>
      </c>
      <c r="G58" s="4">
        <f>AK57</f>
      </c>
      <c r="H58" s="15">
        <f>$B$8-$B$9</f>
      </c>
      <c r="I58" s="15">
        <f>$B$10-$B$11</f>
      </c>
      <c r="J58" s="15">
        <f>$B$12-$B$13</f>
      </c>
      <c r="K58" s="4">
        <f>D58*H58</f>
      </c>
      <c r="L58" s="4">
        <f>MAX(0,K58)*$B$15</f>
      </c>
      <c r="M58" s="4">
        <f>D58+K58-L58</f>
      </c>
      <c r="N58" s="4">
        <f>E58*(1+I58)</f>
      </c>
      <c r="O58" s="4">
        <f>F58*(1+J58)</f>
      </c>
      <c r="P58" s="4">
        <f>MAX(0,G58+K58-L58)</f>
      </c>
      <c r="Q58" s="16">
        <f>Q57*(1+$B$16)</f>
      </c>
      <c r="R58" s="4">
        <f>IF(C58="A",$B$17*12*IF($B$18=1,Q58,(1+$B$19)^26),0)</f>
      </c>
      <c r="S58" s="4">
        <f>IF(C58="A",0,$B$20*12*IF($B$23=1,Q58,1))</f>
      </c>
      <c r="T58" s="4">
        <f>IF(AND(NOT(C58="A"),B58&gt;=$B$22),$B$21*12*IF($B$23=1,Q58,1),0)</f>
      </c>
      <c r="U58" s="4">
        <f>MAX(0,S58-T58)</f>
      </c>
      <c r="V58" s="4">
        <f>IF(C58="A",M58+$B$5*R58,MAX(0,M58-U58))</f>
      </c>
      <c r="W58" s="15">
        <f>IF(OR(C58="A",M58&gt;=U58,N58+O58&lt;=0),0,MIN(1,(U58-M58)/(N58+O58)))</f>
      </c>
      <c r="X58" s="4">
        <f>IF(C58="A",N58+$B$6*R58,N58*(1-W58))</f>
      </c>
      <c r="Y58" s="4">
        <f>IF(C58="A",O58+$B$7*R58,O58*(1-W58))</f>
      </c>
      <c r="Z58" s="4">
        <f>IF(C58="A",P58+R58,MAX(0,P58-U58))</f>
      </c>
      <c r="AA58" s="4">
        <f>SUMIFS($B$27:$B$28,$A$27:$A$28,"&gt;"&amp;(B58-1),$A$27:$A$28,"&lt;="&amp;B58)</f>
      </c>
      <c r="AB58" s="4">
        <f>IF(AA58&gt;0,V58+$B$5*AA58,IF(AND(AA58&lt;0,(V58+X58+Y58)&gt;0),V58*(1-MIN(1,ABS(AA58)/(V58+X58+Y58))),V58))</f>
      </c>
      <c r="AC58" s="4">
        <f>IF(AA58&gt;0,X58+$B$6*AA58,IF(AND(AA58&lt;0,(V58+X58+Y58)&gt;0),X58*(1-MIN(1,ABS(AA58)/(V58+X58+Y58))),X58))</f>
      </c>
      <c r="AD58" s="4">
        <f>IF(AA58&gt;0,Y58+$B$7*AA58,IF(AND(AA58&lt;0,(V58+X58+Y58)&gt;0),Y58*(1-MIN(1,ABS(AA58)/(V58+X58+Y58))),Y58))</f>
      </c>
      <c r="AE58" s="4">
        <f>IF(AA58&gt;0,Z58+AA58,IF(AA58&lt;0,MAX(0,Z58+AA58),Z58))</f>
      </c>
      <c r="AF58" s="4">
        <f>AB58+AC58+AD58</f>
      </c>
      <c r="AG58" s="4">
        <f>IF(AND(AF58&gt;AE58,AF58&gt;0),(AF58-AE58)*$B$14,0)</f>
      </c>
      <c r="AH58" s="4">
        <f>MAX(0,AB58*IF(AF58&gt;0,(AF58-AG58)/AF58,1))</f>
      </c>
      <c r="AI58" s="4">
        <f>MAX(0,AC58*IF(AF58&gt;0,(AF58-AG58)/AF58,1))</f>
      </c>
      <c r="AJ58" s="4">
        <f>MAX(0,AD58*IF(AF58&gt;0,(AF58-AG58)/AF58,1))</f>
      </c>
      <c r="AK58" s="4">
        <f>IF(AG58&gt;0,AF58-AG58,AE58)</f>
      </c>
      <c r="AL58" s="4">
        <f>AH58+AI58+AJ58</f>
      </c>
      <c r="AM58" s="5">
        <v>220044.1910170559</v>
      </c>
      <c r="AN58" s="6">
        <f>AL58-AM58</f>
      </c>
    </row>
    <row r="59" spans="1:40" x14ac:dyDescent="0.25">
      <c r="A59">
        <v>2053</v>
      </c>
      <c r="B59">
        <v>82</v>
      </c>
      <c r="C59" s="14">
        <f>IF(B59&lt;$B$24,"A","E")</f>
      </c>
      <c r="D59" s="4">
        <f>AH58</f>
      </c>
      <c r="E59" s="4">
        <f>AI58</f>
      </c>
      <c r="F59" s="4">
        <f>AJ58</f>
      </c>
      <c r="G59" s="4">
        <f>AK58</f>
      </c>
      <c r="H59" s="15">
        <f>$B$8-$B$9</f>
      </c>
      <c r="I59" s="15">
        <f>$B$10-$B$11</f>
      </c>
      <c r="J59" s="15">
        <f>$B$12-$B$13</f>
      </c>
      <c r="K59" s="4">
        <f>D59*H59</f>
      </c>
      <c r="L59" s="4">
        <f>MAX(0,K59)*$B$15</f>
      </c>
      <c r="M59" s="4">
        <f>D59+K59-L59</f>
      </c>
      <c r="N59" s="4">
        <f>E59*(1+I59)</f>
      </c>
      <c r="O59" s="4">
        <f>F59*(1+J59)</f>
      </c>
      <c r="P59" s="4">
        <f>MAX(0,G59+K59-L59)</f>
      </c>
      <c r="Q59" s="16">
        <f>Q58*(1+$B$16)</f>
      </c>
      <c r="R59" s="4">
        <f>IF(C59="A",$B$17*12*IF($B$18=1,Q59,(1+$B$19)^27),0)</f>
      </c>
      <c r="S59" s="4">
        <f>IF(C59="A",0,$B$20*12*IF($B$23=1,Q59,1))</f>
      </c>
      <c r="T59" s="4">
        <f>IF(AND(NOT(C59="A"),B59&gt;=$B$22),$B$21*12*IF($B$23=1,Q59,1),0)</f>
      </c>
      <c r="U59" s="4">
        <f>MAX(0,S59-T59)</f>
      </c>
      <c r="V59" s="4">
        <f>IF(C59="A",M59+$B$5*R59,MAX(0,M59-U59))</f>
      </c>
      <c r="W59" s="15">
        <f>IF(OR(C59="A",M59&gt;=U59,N59+O59&lt;=0),0,MIN(1,(U59-M59)/(N59+O59)))</f>
      </c>
      <c r="X59" s="4">
        <f>IF(C59="A",N59+$B$6*R59,N59*(1-W59))</f>
      </c>
      <c r="Y59" s="4">
        <f>IF(C59="A",O59+$B$7*R59,O59*(1-W59))</f>
      </c>
      <c r="Z59" s="4">
        <f>IF(C59="A",P59+R59,MAX(0,P59-U59))</f>
      </c>
      <c r="AA59" s="4">
        <f>SUMIFS($B$27:$B$28,$A$27:$A$28,"&gt;"&amp;(B59-1),$A$27:$A$28,"&lt;="&amp;B59)</f>
      </c>
      <c r="AB59" s="4">
        <f>IF(AA59&gt;0,V59+$B$5*AA59,IF(AND(AA59&lt;0,(V59+X59+Y59)&gt;0),V59*(1-MIN(1,ABS(AA59)/(V59+X59+Y59))),V59))</f>
      </c>
      <c r="AC59" s="4">
        <f>IF(AA59&gt;0,X59+$B$6*AA59,IF(AND(AA59&lt;0,(V59+X59+Y59)&gt;0),X59*(1-MIN(1,ABS(AA59)/(V59+X59+Y59))),X59))</f>
      </c>
      <c r="AD59" s="4">
        <f>IF(AA59&gt;0,Y59+$B$7*AA59,IF(AND(AA59&lt;0,(V59+X59+Y59)&gt;0),Y59*(1-MIN(1,ABS(AA59)/(V59+X59+Y59))),Y59))</f>
      </c>
      <c r="AE59" s="4">
        <f>IF(AA59&gt;0,Z59+AA59,IF(AA59&lt;0,MAX(0,Z59+AA59),Z59))</f>
      </c>
      <c r="AF59" s="4">
        <f>AB59+AC59+AD59</f>
      </c>
      <c r="AG59" s="4">
        <f>IF(AND(AF59&gt;AE59,AF59&gt;0),(AF59-AE59)*$B$14,0)</f>
      </c>
      <c r="AH59" s="4">
        <f>MAX(0,AB59*IF(AF59&gt;0,(AF59-AG59)/AF59,1))</f>
      </c>
      <c r="AI59" s="4">
        <f>MAX(0,AC59*IF(AF59&gt;0,(AF59-AG59)/AF59,1))</f>
      </c>
      <c r="AJ59" s="4">
        <f>MAX(0,AD59*IF(AF59&gt;0,(AF59-AG59)/AF59,1))</f>
      </c>
      <c r="AK59" s="4">
        <f>IF(AG59&gt;0,AF59-AG59,AE59)</f>
      </c>
      <c r="AL59" s="4">
        <f>AH59+AI59+AJ59</f>
      </c>
      <c r="AM59" s="5">
        <v>203747.70456495645</v>
      </c>
      <c r="AN59" s="6">
        <f>AL59-AM59</f>
      </c>
    </row>
    <row r="60" spans="1:40" x14ac:dyDescent="0.25">
      <c r="A60">
        <v>2054</v>
      </c>
      <c r="B60">
        <v>83</v>
      </c>
      <c r="C60" s="14">
        <f>IF(B60&lt;$B$24,"A","E")</f>
      </c>
      <c r="D60" s="4">
        <f>AH59</f>
      </c>
      <c r="E60" s="4">
        <f>AI59</f>
      </c>
      <c r="F60" s="4">
        <f>AJ59</f>
      </c>
      <c r="G60" s="4">
        <f>AK59</f>
      </c>
      <c r="H60" s="15">
        <f>$B$8-$B$9</f>
      </c>
      <c r="I60" s="15">
        <f>$B$10-$B$11</f>
      </c>
      <c r="J60" s="15">
        <f>$B$12-$B$13</f>
      </c>
      <c r="K60" s="4">
        <f>D60*H60</f>
      </c>
      <c r="L60" s="4">
        <f>MAX(0,K60)*$B$15</f>
      </c>
      <c r="M60" s="4">
        <f>D60+K60-L60</f>
      </c>
      <c r="N60" s="4">
        <f>E60*(1+I60)</f>
      </c>
      <c r="O60" s="4">
        <f>F60*(1+J60)</f>
      </c>
      <c r="P60" s="4">
        <f>MAX(0,G60+K60-L60)</f>
      </c>
      <c r="Q60" s="16">
        <f>Q59*(1+$B$16)</f>
      </c>
      <c r="R60" s="4">
        <f>IF(C60="A",$B$17*12*IF($B$18=1,Q60,(1+$B$19)^28),0)</f>
      </c>
      <c r="S60" s="4">
        <f>IF(C60="A",0,$B$20*12*IF($B$23=1,Q60,1))</f>
      </c>
      <c r="T60" s="4">
        <f>IF(AND(NOT(C60="A"),B60&gt;=$B$22),$B$21*12*IF($B$23=1,Q60,1),0)</f>
      </c>
      <c r="U60" s="4">
        <f>MAX(0,S60-T60)</f>
      </c>
      <c r="V60" s="4">
        <f>IF(C60="A",M60+$B$5*R60,MAX(0,M60-U60))</f>
      </c>
      <c r="W60" s="15">
        <f>IF(OR(C60="A",M60&gt;=U60,N60+O60&lt;=0),0,MIN(1,(U60-M60)/(N60+O60)))</f>
      </c>
      <c r="X60" s="4">
        <f>IF(C60="A",N60+$B$6*R60,N60*(1-W60))</f>
      </c>
      <c r="Y60" s="4">
        <f>IF(C60="A",O60+$B$7*R60,O60*(1-W60))</f>
      </c>
      <c r="Z60" s="4">
        <f>IF(C60="A",P60+R60,MAX(0,P60-U60))</f>
      </c>
      <c r="AA60" s="4">
        <f>SUMIFS($B$27:$B$28,$A$27:$A$28,"&gt;"&amp;(B60-1),$A$27:$A$28,"&lt;="&amp;B60)</f>
      </c>
      <c r="AB60" s="4">
        <f>IF(AA60&gt;0,V60+$B$5*AA60,IF(AND(AA60&lt;0,(V60+X60+Y60)&gt;0),V60*(1-MIN(1,ABS(AA60)/(V60+X60+Y60))),V60))</f>
      </c>
      <c r="AC60" s="4">
        <f>IF(AA60&gt;0,X60+$B$6*AA60,IF(AND(AA60&lt;0,(V60+X60+Y60)&gt;0),X60*(1-MIN(1,ABS(AA60)/(V60+X60+Y60))),X60))</f>
      </c>
      <c r="AD60" s="4">
        <f>IF(AA60&gt;0,Y60+$B$7*AA60,IF(AND(AA60&lt;0,(V60+X60+Y60)&gt;0),Y60*(1-MIN(1,ABS(AA60)/(V60+X60+Y60))),Y60))</f>
      </c>
      <c r="AE60" s="4">
        <f>IF(AA60&gt;0,Z60+AA60,IF(AA60&lt;0,MAX(0,Z60+AA60),Z60))</f>
      </c>
      <c r="AF60" s="4">
        <f>AB60+AC60+AD60</f>
      </c>
      <c r="AG60" s="4">
        <f>IF(AND(AF60&gt;AE60,AF60&gt;0),(AF60-AE60)*$B$14,0)</f>
      </c>
      <c r="AH60" s="4">
        <f>MAX(0,AB60*IF(AF60&gt;0,(AF60-AG60)/AF60,1))</f>
      </c>
      <c r="AI60" s="4">
        <f>MAX(0,AC60*IF(AF60&gt;0,(AF60-AG60)/AF60,1))</f>
      </c>
      <c r="AJ60" s="4">
        <f>MAX(0,AD60*IF(AF60&gt;0,(AF60-AG60)/AF60,1))</f>
      </c>
      <c r="AK60" s="4">
        <f>IF(AG60&gt;0,AF60-AG60,AE60)</f>
      </c>
      <c r="AL60" s="4">
        <f>AH60+AI60+AJ60</f>
      </c>
      <c r="AM60" s="5">
        <v>186299.98074420143</v>
      </c>
      <c r="AN60" s="6">
        <f>AL60-AM60</f>
      </c>
    </row>
    <row r="61" spans="1:40" x14ac:dyDescent="0.25">
      <c r="A61">
        <v>2055</v>
      </c>
      <c r="B61">
        <v>84</v>
      </c>
      <c r="C61" s="14">
        <f>IF(B61&lt;$B$24,"A","E")</f>
      </c>
      <c r="D61" s="4">
        <f>AH60</f>
      </c>
      <c r="E61" s="4">
        <f>AI60</f>
      </c>
      <c r="F61" s="4">
        <f>AJ60</f>
      </c>
      <c r="G61" s="4">
        <f>AK60</f>
      </c>
      <c r="H61" s="15">
        <f>$B$8-$B$9</f>
      </c>
      <c r="I61" s="15">
        <f>$B$10-$B$11</f>
      </c>
      <c r="J61" s="15">
        <f>$B$12-$B$13</f>
      </c>
      <c r="K61" s="4">
        <f>D61*H61</f>
      </c>
      <c r="L61" s="4">
        <f>MAX(0,K61)*$B$15</f>
      </c>
      <c r="M61" s="4">
        <f>D61+K61-L61</f>
      </c>
      <c r="N61" s="4">
        <f>E61*(1+I61)</f>
      </c>
      <c r="O61" s="4">
        <f>F61*(1+J61)</f>
      </c>
      <c r="P61" s="4">
        <f>MAX(0,G61+K61-L61)</f>
      </c>
      <c r="Q61" s="16">
        <f>Q60*(1+$B$16)</f>
      </c>
      <c r="R61" s="4">
        <f>IF(C61="A",$B$17*12*IF($B$18=1,Q61,(1+$B$19)^29),0)</f>
      </c>
      <c r="S61" s="4">
        <f>IF(C61="A",0,$B$20*12*IF($B$23=1,Q61,1))</f>
      </c>
      <c r="T61" s="4">
        <f>IF(AND(NOT(C61="A"),B61&gt;=$B$22),$B$21*12*IF($B$23=1,Q61,1),0)</f>
      </c>
      <c r="U61" s="4">
        <f>MAX(0,S61-T61)</f>
      </c>
      <c r="V61" s="4">
        <f>IF(C61="A",M61+$B$5*R61,MAX(0,M61-U61))</f>
      </c>
      <c r="W61" s="15">
        <f>IF(OR(C61="A",M61&gt;=U61,N61+O61&lt;=0),0,MIN(1,(U61-M61)/(N61+O61)))</f>
      </c>
      <c r="X61" s="4">
        <f>IF(C61="A",N61+$B$6*R61,N61*(1-W61))</f>
      </c>
      <c r="Y61" s="4">
        <f>IF(C61="A",O61+$B$7*R61,O61*(1-W61))</f>
      </c>
      <c r="Z61" s="4">
        <f>IF(C61="A",P61+R61,MAX(0,P61-U61))</f>
      </c>
      <c r="AA61" s="4">
        <f>SUMIFS($B$27:$B$28,$A$27:$A$28,"&gt;"&amp;(B61-1),$A$27:$A$28,"&lt;="&amp;B61)</f>
      </c>
      <c r="AB61" s="4">
        <f>IF(AA61&gt;0,V61+$B$5*AA61,IF(AND(AA61&lt;0,(V61+X61+Y61)&gt;0),V61*(1-MIN(1,ABS(AA61)/(V61+X61+Y61))),V61))</f>
      </c>
      <c r="AC61" s="4">
        <f>IF(AA61&gt;0,X61+$B$6*AA61,IF(AND(AA61&lt;0,(V61+X61+Y61)&gt;0),X61*(1-MIN(1,ABS(AA61)/(V61+X61+Y61))),X61))</f>
      </c>
      <c r="AD61" s="4">
        <f>IF(AA61&gt;0,Y61+$B$7*AA61,IF(AND(AA61&lt;0,(V61+X61+Y61)&gt;0),Y61*(1-MIN(1,ABS(AA61)/(V61+X61+Y61))),Y61))</f>
      </c>
      <c r="AE61" s="4">
        <f>IF(AA61&gt;0,Z61+AA61,IF(AA61&lt;0,MAX(0,Z61+AA61),Z61))</f>
      </c>
      <c r="AF61" s="4">
        <f>AB61+AC61+AD61</f>
      </c>
      <c r="AG61" s="4">
        <f>IF(AND(AF61&gt;AE61,AF61&gt;0),(AF61-AE61)*$B$14,0)</f>
      </c>
      <c r="AH61" s="4">
        <f>MAX(0,AB61*IF(AF61&gt;0,(AF61-AG61)/AF61,1))</f>
      </c>
      <c r="AI61" s="4">
        <f>MAX(0,AC61*IF(AF61&gt;0,(AF61-AG61)/AF61,1))</f>
      </c>
      <c r="AJ61" s="4">
        <f>MAX(0,AD61*IF(AF61&gt;0,(AF61-AG61)/AF61,1))</f>
      </c>
      <c r="AK61" s="4">
        <f>IF(AG61&gt;0,AF61-AG61,AE61)</f>
      </c>
      <c r="AL61" s="4">
        <f>AH61+AI61+AJ61</f>
      </c>
      <c r="AM61" s="5">
        <v>167645.08566528815</v>
      </c>
      <c r="AN61" s="6">
        <f>AL61-AM61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0"/>
  <sheetViews>
    <sheetView workbookViewId="0">
      <pane xSplit="2" ySplit="30" topLeftCell="C31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2" width="16" customWidth="1"/>
    <col min="3" max="40" width="15" customWidth="1"/>
  </cols>
  <sheetData>
    <row r="1" spans="1:1" x14ac:dyDescent="0.25">
      <c r="A1" s="7" t="s">
        <v>85</v>
      </c>
    </row>
    <row r="2" spans="1:1" x14ac:dyDescent="0.25">
      <c r="A2" s="8" t="s">
        <v>86</v>
      </c>
    </row>
    <row r="4" spans="1:2" x14ac:dyDescent="0.25">
      <c r="A4" t="s">
        <v>22</v>
      </c>
      <c r="B4" s="9">
        <v>250000</v>
      </c>
    </row>
    <row r="5" spans="1:2" x14ac:dyDescent="0.25">
      <c r="A5" t="s">
        <v>23</v>
      </c>
      <c r="B5" s="10">
        <v>0.3</v>
      </c>
    </row>
    <row r="6" spans="1:2" x14ac:dyDescent="0.25">
      <c r="A6" t="s">
        <v>24</v>
      </c>
      <c r="B6" s="10">
        <v>0.4</v>
      </c>
    </row>
    <row r="7" spans="1:2" x14ac:dyDescent="0.25">
      <c r="A7" t="s">
        <v>25</v>
      </c>
      <c r="B7" s="10">
        <v>0.3</v>
      </c>
    </row>
    <row r="8" spans="1:2" x14ac:dyDescent="0.25">
      <c r="A8" t="s">
        <v>26</v>
      </c>
      <c r="B8" s="10">
        <v>0.015</v>
      </c>
    </row>
    <row r="9" spans="1:2" x14ac:dyDescent="0.25">
      <c r="A9" t="s">
        <v>27</v>
      </c>
      <c r="B9" s="10">
        <v>0</v>
      </c>
    </row>
    <row r="10" spans="1:2" x14ac:dyDescent="0.25">
      <c r="A10" t="s">
        <v>28</v>
      </c>
      <c r="B10" s="10">
        <v>0.035</v>
      </c>
    </row>
    <row r="11" spans="1:2" x14ac:dyDescent="0.25">
      <c r="A11" t="s">
        <v>29</v>
      </c>
      <c r="B11" s="10">
        <v>0.006</v>
      </c>
    </row>
    <row r="12" spans="1:2" x14ac:dyDescent="0.25">
      <c r="A12" t="s">
        <v>30</v>
      </c>
      <c r="B12" s="10">
        <v>0.07</v>
      </c>
    </row>
    <row r="13" spans="1:2" x14ac:dyDescent="0.25">
      <c r="A13" t="s">
        <v>31</v>
      </c>
      <c r="B13" s="10">
        <v>0.015</v>
      </c>
    </row>
    <row r="14" spans="1:2" x14ac:dyDescent="0.25">
      <c r="A14" t="s">
        <v>32</v>
      </c>
      <c r="B14" s="10">
        <v>0.275</v>
      </c>
    </row>
    <row r="15" spans="1:2" x14ac:dyDescent="0.25">
      <c r="A15" t="s">
        <v>33</v>
      </c>
      <c r="B15" s="10">
        <v>0.25</v>
      </c>
    </row>
    <row r="16" spans="1:2" x14ac:dyDescent="0.25">
      <c r="A16" t="s">
        <v>34</v>
      </c>
      <c r="B16" s="10">
        <v>0.025</v>
      </c>
    </row>
    <row r="17" spans="1:2" x14ac:dyDescent="0.25">
      <c r="A17" t="s">
        <v>35</v>
      </c>
      <c r="B17" s="9">
        <v>800</v>
      </c>
    </row>
    <row r="18" spans="1:2" x14ac:dyDescent="0.25">
      <c r="A18" t="s">
        <v>36</v>
      </c>
      <c r="B18" s="11">
        <v>0</v>
      </c>
    </row>
    <row r="19" spans="1:2" x14ac:dyDescent="0.25">
      <c r="A19" t="s">
        <v>37</v>
      </c>
      <c r="B19" s="10">
        <v>0.03</v>
      </c>
    </row>
    <row r="20" spans="1:2" x14ac:dyDescent="0.25">
      <c r="A20" t="s">
        <v>38</v>
      </c>
      <c r="B20" s="9">
        <v>2500</v>
      </c>
    </row>
    <row r="21" spans="1:2" x14ac:dyDescent="0.25">
      <c r="A21" t="s">
        <v>39</v>
      </c>
      <c r="B21" s="9">
        <v>1000</v>
      </c>
    </row>
    <row r="22" spans="1:2" x14ac:dyDescent="0.25">
      <c r="A22" t="s">
        <v>40</v>
      </c>
      <c r="B22" s="11">
        <v>62</v>
      </c>
    </row>
    <row r="23" spans="1:2" x14ac:dyDescent="0.25">
      <c r="A23" t="s">
        <v>41</v>
      </c>
      <c r="B23" s="11">
        <v>0</v>
      </c>
    </row>
    <row r="24" spans="1:2" x14ac:dyDescent="0.25">
      <c r="A24" t="s">
        <v>42</v>
      </c>
      <c r="B24" s="11">
        <v>65</v>
      </c>
    </row>
    <row r="26" spans="1:1" x14ac:dyDescent="0.25">
      <c r="A26" s="3" t="s">
        <v>43</v>
      </c>
    </row>
    <row r="27" spans="1:2" x14ac:dyDescent="0.25">
      <c r="A27" s="12"/>
      <c r="B27" s="9"/>
    </row>
    <row r="30" ht="45" customHeight="1" spans="1:40" x14ac:dyDescent="0.25">
      <c r="A30" s="13" t="s">
        <v>44</v>
      </c>
      <c r="B30" s="13" t="s">
        <v>45</v>
      </c>
      <c r="C30" s="13" t="s">
        <v>46</v>
      </c>
      <c r="D30" s="13" t="s">
        <v>47</v>
      </c>
      <c r="E30" s="13" t="s">
        <v>48</v>
      </c>
      <c r="F30" s="13" t="s">
        <v>49</v>
      </c>
      <c r="G30" s="13" t="s">
        <v>50</v>
      </c>
      <c r="H30" s="13" t="s">
        <v>51</v>
      </c>
      <c r="I30" s="13" t="s">
        <v>52</v>
      </c>
      <c r="J30" s="13" t="s">
        <v>53</v>
      </c>
      <c r="K30" s="13" t="s">
        <v>54</v>
      </c>
      <c r="L30" s="13" t="s">
        <v>33</v>
      </c>
      <c r="M30" s="13" t="s">
        <v>55</v>
      </c>
      <c r="N30" s="13" t="s">
        <v>56</v>
      </c>
      <c r="O30" s="13" t="s">
        <v>57</v>
      </c>
      <c r="P30" s="13" t="s">
        <v>58</v>
      </c>
      <c r="Q30" s="13" t="s">
        <v>59</v>
      </c>
      <c r="R30" s="13" t="s">
        <v>60</v>
      </c>
      <c r="S30" s="13" t="s">
        <v>61</v>
      </c>
      <c r="T30" s="13" t="s">
        <v>62</v>
      </c>
      <c r="U30" s="13" t="s">
        <v>63</v>
      </c>
      <c r="V30" s="13" t="s">
        <v>64</v>
      </c>
      <c r="W30" s="13" t="s">
        <v>65</v>
      </c>
      <c r="X30" s="13" t="s">
        <v>66</v>
      </c>
      <c r="Y30" s="13" t="s">
        <v>67</v>
      </c>
      <c r="Z30" s="13" t="s">
        <v>68</v>
      </c>
      <c r="AA30" s="13" t="s">
        <v>69</v>
      </c>
      <c r="AB30" s="13" t="s">
        <v>70</v>
      </c>
      <c r="AC30" s="13" t="s">
        <v>71</v>
      </c>
      <c r="AD30" s="13" t="s">
        <v>72</v>
      </c>
      <c r="AE30" s="13" t="s">
        <v>73</v>
      </c>
      <c r="AF30" s="13" t="s">
        <v>74</v>
      </c>
      <c r="AG30" s="13" t="s">
        <v>75</v>
      </c>
      <c r="AH30" s="13" t="s">
        <v>76</v>
      </c>
      <c r="AI30" s="13" t="s">
        <v>77</v>
      </c>
      <c r="AJ30" s="13" t="s">
        <v>78</v>
      </c>
      <c r="AK30" s="13" t="s">
        <v>79</v>
      </c>
      <c r="AL30" s="13" t="s">
        <v>80</v>
      </c>
      <c r="AM30" s="13" t="s">
        <v>81</v>
      </c>
      <c r="AN30" s="13" t="s">
        <v>82</v>
      </c>
    </row>
    <row r="31" spans="1:40" x14ac:dyDescent="0.25">
      <c r="A31">
        <v>2026</v>
      </c>
      <c r="B31">
        <v>55</v>
      </c>
      <c r="C31" s="14">
        <f>IF(B31&lt;$B$24,"A","E")</f>
      </c>
      <c r="D31" s="4">
        <f>$B$4*$B$5</f>
      </c>
      <c r="E31" s="4">
        <f>$B$4*$B$6</f>
      </c>
      <c r="F31" s="4">
        <f>$B$4*$B$7</f>
      </c>
      <c r="G31" s="4">
        <f>$B$4</f>
      </c>
      <c r="H31" s="15">
        <f>$B$8-$B$9</f>
      </c>
      <c r="I31" s="15">
        <f>$B$10-$B$11</f>
      </c>
      <c r="J31" s="15">
        <f>$B$12-$B$13</f>
      </c>
      <c r="K31" s="4">
        <f>D31*H31</f>
      </c>
      <c r="L31" s="4">
        <f>MAX(0,K31)*$B$15</f>
      </c>
      <c r="M31" s="4">
        <f>D31+K31-L31</f>
      </c>
      <c r="N31" s="4">
        <f>E31*(1+I31)</f>
      </c>
      <c r="O31" s="4">
        <f>F31*(1+J31)</f>
      </c>
      <c r="P31" s="4">
        <f>MAX(0,G31+K31-L31)</f>
      </c>
      <c r="Q31" s="16">
        <f>1+$B$16</f>
      </c>
      <c r="R31" s="4">
        <f>IF(C31="A",$B$17*12*IF($B$18=1,Q31,(1+$B$19)^0),0)</f>
      </c>
      <c r="S31" s="4">
        <f>IF(C31="A",0,$B$20*12*IF($B$23=1,Q31,1))</f>
      </c>
      <c r="T31" s="4">
        <f>IF(AND(NOT(C31="A"),B31&gt;=$B$22),$B$21*12*IF($B$23=1,Q31,1),0)</f>
      </c>
      <c r="U31" s="4">
        <f>MAX(0,S31-T31)</f>
      </c>
      <c r="V31" s="4">
        <f>IF(C31="A",M31+$B$5*R31,MAX(0,M31-U31))</f>
      </c>
      <c r="W31" s="15">
        <f>IF(OR(C31="A",M31&gt;=U31,N31+O31&lt;=0),0,MIN(1,(U31-M31)/(N31+O31)))</f>
      </c>
      <c r="X31" s="4">
        <f>IF(C31="A",N31+$B$6*R31,N31*(1-W31))</f>
      </c>
      <c r="Y31" s="4">
        <f>IF(C31="A",O31+$B$7*R31,O31*(1-W31))</f>
      </c>
      <c r="Z31" s="4">
        <f>IF(C31="A",P31+R31,MAX(0,P31-U31))</f>
      </c>
      <c r="AA31" s="4">
        <f>SUMIFS($B$27:$B$27,$A$27:$A$27,"&gt;"&amp;(B31-1),$A$27:$A$27,"&lt;="&amp;B31)</f>
      </c>
      <c r="AB31" s="4">
        <f>IF(AA31&gt;0,V31+$B$5*AA31,IF(AND(AA31&lt;0,(V31+X31+Y31)&gt;0),V31*(1-MIN(1,ABS(AA31)/(V31+X31+Y31))),V31))</f>
      </c>
      <c r="AC31" s="4">
        <f>IF(AA31&gt;0,X31+$B$6*AA31,IF(AND(AA31&lt;0,(V31+X31+Y31)&gt;0),X31*(1-MIN(1,ABS(AA31)/(V31+X31+Y31))),X31))</f>
      </c>
      <c r="AD31" s="4">
        <f>IF(AA31&gt;0,Y31+$B$7*AA31,IF(AND(AA31&lt;0,(V31+X31+Y31)&gt;0),Y31*(1-MIN(1,ABS(AA31)/(V31+X31+Y31))),Y31))</f>
      </c>
      <c r="AE31" s="4">
        <f>IF(AA31&gt;0,Z31+AA31,IF(AA31&lt;0,MAX(0,Z31+AA31),Z31))</f>
      </c>
      <c r="AF31" s="4">
        <f>AB31+AC31+AD31</f>
      </c>
      <c r="AG31" s="4">
        <f>IF(AND(AF31&gt;AE31,AF31&gt;0),(AF31-AE31)*$B$14,0)</f>
      </c>
      <c r="AH31" s="4">
        <f>MAX(0,AB31*IF(AF31&gt;0,(AF31-AG31)/AF31,1))</f>
      </c>
      <c r="AI31" s="4">
        <f>MAX(0,AC31*IF(AF31&gt;0,(AF31-AG31)/AF31,1))</f>
      </c>
      <c r="AJ31" s="4">
        <f>MAX(0,AD31*IF(AF31&gt;0,(AF31-AG31)/AF31,1))</f>
      </c>
      <c r="AK31" s="4">
        <f>IF(AG31&gt;0,AF31-AG31,AE31)</f>
      </c>
      <c r="AL31" s="4">
        <f>AH31+AI31+AJ31</f>
      </c>
      <c r="AM31" s="5">
        <v>265536.875</v>
      </c>
      <c r="AN31" s="6">
        <f>AL31-AM31</f>
      </c>
    </row>
    <row r="32" spans="1:40" x14ac:dyDescent="0.25">
      <c r="A32">
        <v>2027</v>
      </c>
      <c r="B32">
        <v>56</v>
      </c>
      <c r="C32" s="14">
        <f>IF(B32&lt;$B$24,"A","E")</f>
      </c>
      <c r="D32" s="4">
        <f>AH31</f>
      </c>
      <c r="E32" s="4">
        <f>AI31</f>
      </c>
      <c r="F32" s="4">
        <f>AJ31</f>
      </c>
      <c r="G32" s="4">
        <f>AK31</f>
      </c>
      <c r="H32" s="15">
        <f>$B$8-$B$9</f>
      </c>
      <c r="I32" s="15">
        <f>$B$10-$B$11</f>
      </c>
      <c r="J32" s="15">
        <f>$B$12-$B$13</f>
      </c>
      <c r="K32" s="4">
        <f>D32*H32</f>
      </c>
      <c r="L32" s="4">
        <f>MAX(0,K32)*$B$15</f>
      </c>
      <c r="M32" s="4">
        <f>D32+K32-L32</f>
      </c>
      <c r="N32" s="4">
        <f>E32*(1+I32)</f>
      </c>
      <c r="O32" s="4">
        <f>F32*(1+J32)</f>
      </c>
      <c r="P32" s="4">
        <f>MAX(0,G32+K32-L32)</f>
      </c>
      <c r="Q32" s="16">
        <f>Q31*(1+$B$16)</f>
      </c>
      <c r="R32" s="4">
        <f>IF(C32="A",$B$17*12*IF($B$18=1,Q32,(1+$B$19)^1),0)</f>
      </c>
      <c r="S32" s="4">
        <f>IF(C32="A",0,$B$20*12*IF($B$23=1,Q32,1))</f>
      </c>
      <c r="T32" s="4">
        <f>IF(AND(NOT(C32="A"),B32&gt;=$B$22),$B$21*12*IF($B$23=1,Q32,1),0)</f>
      </c>
      <c r="U32" s="4">
        <f>MAX(0,S32-T32)</f>
      </c>
      <c r="V32" s="4">
        <f>IF(C32="A",M32+$B$5*R32,MAX(0,M32-U32))</f>
      </c>
      <c r="W32" s="15">
        <f>IF(OR(C32="A",M32&gt;=U32,N32+O32&lt;=0),0,MIN(1,(U32-M32)/(N32+O32)))</f>
      </c>
      <c r="X32" s="4">
        <f>IF(C32="A",N32+$B$6*R32,N32*(1-W32))</f>
      </c>
      <c r="Y32" s="4">
        <f>IF(C32="A",O32+$B$7*R32,O32*(1-W32))</f>
      </c>
      <c r="Z32" s="4">
        <f>IF(C32="A",P32+R32,MAX(0,P32-U32))</f>
      </c>
      <c r="AA32" s="4">
        <f>SUMIFS($B$27:$B$27,$A$27:$A$27,"&gt;"&amp;(B32-1),$A$27:$A$27,"&lt;="&amp;B32)</f>
      </c>
      <c r="AB32" s="4">
        <f>IF(AA32&gt;0,V32+$B$5*AA32,IF(AND(AA32&lt;0,(V32+X32+Y32)&gt;0),V32*(1-MIN(1,ABS(AA32)/(V32+X32+Y32))),V32))</f>
      </c>
      <c r="AC32" s="4">
        <f>IF(AA32&gt;0,X32+$B$6*AA32,IF(AND(AA32&lt;0,(V32+X32+Y32)&gt;0),X32*(1-MIN(1,ABS(AA32)/(V32+X32+Y32))),X32))</f>
      </c>
      <c r="AD32" s="4">
        <f>IF(AA32&gt;0,Y32+$B$7*AA32,IF(AND(AA32&lt;0,(V32+X32+Y32)&gt;0),Y32*(1-MIN(1,ABS(AA32)/(V32+X32+Y32))),Y32))</f>
      </c>
      <c r="AE32" s="4">
        <f>IF(AA32&gt;0,Z32+AA32,IF(AA32&lt;0,MAX(0,Z32+AA32),Z32))</f>
      </c>
      <c r="AF32" s="4">
        <f>AB32+AC32+AD32</f>
      </c>
      <c r="AG32" s="4">
        <f>IF(AND(AF32&gt;AE32,AF32&gt;0),(AF32-AE32)*$B$14,0)</f>
      </c>
      <c r="AH32" s="4">
        <f>MAX(0,AB32*IF(AF32&gt;0,(AF32-AG32)/AF32,1))</f>
      </c>
      <c r="AI32" s="4">
        <f>MAX(0,AC32*IF(AF32&gt;0,(AF32-AG32)/AF32,1))</f>
      </c>
      <c r="AJ32" s="4">
        <f>MAX(0,AD32*IF(AF32&gt;0,(AF32-AG32)/AF32,1))</f>
      </c>
      <c r="AK32" s="4">
        <f>IF(AG32&gt;0,AF32-AG32,AE32)</f>
      </c>
      <c r="AL32" s="4">
        <f>AH32+AI32+AJ32</f>
      </c>
      <c r="AM32" s="5">
        <v>281778.4505456331</v>
      </c>
      <c r="AN32" s="6">
        <f>AL32-AM32</f>
      </c>
    </row>
    <row r="33" spans="1:40" x14ac:dyDescent="0.25">
      <c r="A33">
        <v>2028</v>
      </c>
      <c r="B33">
        <v>57</v>
      </c>
      <c r="C33" s="14">
        <f>IF(B33&lt;$B$24,"A","E")</f>
      </c>
      <c r="D33" s="4">
        <f>AH32</f>
      </c>
      <c r="E33" s="4">
        <f>AI32</f>
      </c>
      <c r="F33" s="4">
        <f>AJ32</f>
      </c>
      <c r="G33" s="4">
        <f>AK32</f>
      </c>
      <c r="H33" s="15">
        <f>$B$8-$B$9</f>
      </c>
      <c r="I33" s="15">
        <f>$B$10-$B$11</f>
      </c>
      <c r="J33" s="15">
        <f>$B$12-$B$13</f>
      </c>
      <c r="K33" s="4">
        <f>D33*H33</f>
      </c>
      <c r="L33" s="4">
        <f>MAX(0,K33)*$B$15</f>
      </c>
      <c r="M33" s="4">
        <f>D33+K33-L33</f>
      </c>
      <c r="N33" s="4">
        <f>E33*(1+I33)</f>
      </c>
      <c r="O33" s="4">
        <f>F33*(1+J33)</f>
      </c>
      <c r="P33" s="4">
        <f>MAX(0,G33+K33-L33)</f>
      </c>
      <c r="Q33" s="16">
        <f>Q32*(1+$B$16)</f>
      </c>
      <c r="R33" s="4">
        <f>IF(C33="A",$B$17*12*IF($B$18=1,Q33,(1+$B$19)^2),0)</f>
      </c>
      <c r="S33" s="4">
        <f>IF(C33="A",0,$B$20*12*IF($B$23=1,Q33,1))</f>
      </c>
      <c r="T33" s="4">
        <f>IF(AND(NOT(C33="A"),B33&gt;=$B$22),$B$21*12*IF($B$23=1,Q33,1),0)</f>
      </c>
      <c r="U33" s="4">
        <f>MAX(0,S33-T33)</f>
      </c>
      <c r="V33" s="4">
        <f>IF(C33="A",M33+$B$5*R33,MAX(0,M33-U33))</f>
      </c>
      <c r="W33" s="15">
        <f>IF(OR(C33="A",M33&gt;=U33,N33+O33&lt;=0),0,MIN(1,(U33-M33)/(N33+O33)))</f>
      </c>
      <c r="X33" s="4">
        <f>IF(C33="A",N33+$B$6*R33,N33*(1-W33))</f>
      </c>
      <c r="Y33" s="4">
        <f>IF(C33="A",O33+$B$7*R33,O33*(1-W33))</f>
      </c>
      <c r="Z33" s="4">
        <f>IF(C33="A",P33+R33,MAX(0,P33-U33))</f>
      </c>
      <c r="AA33" s="4">
        <f>SUMIFS($B$27:$B$27,$A$27:$A$27,"&gt;"&amp;(B33-1),$A$27:$A$27,"&lt;="&amp;B33)</f>
      </c>
      <c r="AB33" s="4">
        <f>IF(AA33&gt;0,V33+$B$5*AA33,IF(AND(AA33&lt;0,(V33+X33+Y33)&gt;0),V33*(1-MIN(1,ABS(AA33)/(V33+X33+Y33))),V33))</f>
      </c>
      <c r="AC33" s="4">
        <f>IF(AA33&gt;0,X33+$B$6*AA33,IF(AND(AA33&lt;0,(V33+X33+Y33)&gt;0),X33*(1-MIN(1,ABS(AA33)/(V33+X33+Y33))),X33))</f>
      </c>
      <c r="AD33" s="4">
        <f>IF(AA33&gt;0,Y33+$B$7*AA33,IF(AND(AA33&lt;0,(V33+X33+Y33)&gt;0),Y33*(1-MIN(1,ABS(AA33)/(V33+X33+Y33))),Y33))</f>
      </c>
      <c r="AE33" s="4">
        <f>IF(AA33&gt;0,Z33+AA33,IF(AA33&lt;0,MAX(0,Z33+AA33),Z33))</f>
      </c>
      <c r="AF33" s="4">
        <f>AB33+AC33+AD33</f>
      </c>
      <c r="AG33" s="4">
        <f>IF(AND(AF33&gt;AE33,AF33&gt;0),(AF33-AE33)*$B$14,0)</f>
      </c>
      <c r="AH33" s="4">
        <f>MAX(0,AB33*IF(AF33&gt;0,(AF33-AG33)/AF33,1))</f>
      </c>
      <c r="AI33" s="4">
        <f>MAX(0,AC33*IF(AF33&gt;0,(AF33-AG33)/AF33,1))</f>
      </c>
      <c r="AJ33" s="4">
        <f>MAX(0,AD33*IF(AF33&gt;0,(AF33-AG33)/AF33,1))</f>
      </c>
      <c r="AK33" s="4">
        <f>IF(AG33&gt;0,AF33-AG33,AE33)</f>
      </c>
      <c r="AL33" s="4">
        <f>AH33+AI33+AJ33</f>
      </c>
      <c r="AM33" s="5">
        <v>298754.4861960199</v>
      </c>
      <c r="AN33" s="6">
        <f>AL33-AM33</f>
      </c>
    </row>
    <row r="34" spans="1:40" x14ac:dyDescent="0.25">
      <c r="A34">
        <v>2029</v>
      </c>
      <c r="B34">
        <v>58</v>
      </c>
      <c r="C34" s="14">
        <f>IF(B34&lt;$B$24,"A","E")</f>
      </c>
      <c r="D34" s="4">
        <f>AH33</f>
      </c>
      <c r="E34" s="4">
        <f>AI33</f>
      </c>
      <c r="F34" s="4">
        <f>AJ33</f>
      </c>
      <c r="G34" s="4">
        <f>AK33</f>
      </c>
      <c r="H34" s="15">
        <f>$B$8-$B$9</f>
      </c>
      <c r="I34" s="15">
        <f>$B$10-$B$11</f>
      </c>
      <c r="J34" s="15">
        <f>$B$12-$B$13</f>
      </c>
      <c r="K34" s="4">
        <f>D34*H34</f>
      </c>
      <c r="L34" s="4">
        <f>MAX(0,K34)*$B$15</f>
      </c>
      <c r="M34" s="4">
        <f>D34+K34-L34</f>
      </c>
      <c r="N34" s="4">
        <f>E34*(1+I34)</f>
      </c>
      <c r="O34" s="4">
        <f>F34*(1+J34)</f>
      </c>
      <c r="P34" s="4">
        <f>MAX(0,G34+K34-L34)</f>
      </c>
      <c r="Q34" s="16">
        <f>Q33*(1+$B$16)</f>
      </c>
      <c r="R34" s="4">
        <f>IF(C34="A",$B$17*12*IF($B$18=1,Q34,(1+$B$19)^3),0)</f>
      </c>
      <c r="S34" s="4">
        <f>IF(C34="A",0,$B$20*12*IF($B$23=1,Q34,1))</f>
      </c>
      <c r="T34" s="4">
        <f>IF(AND(NOT(C34="A"),B34&gt;=$B$22),$B$21*12*IF($B$23=1,Q34,1),0)</f>
      </c>
      <c r="U34" s="4">
        <f>MAX(0,S34-T34)</f>
      </c>
      <c r="V34" s="4">
        <f>IF(C34="A",M34+$B$5*R34,MAX(0,M34-U34))</f>
      </c>
      <c r="W34" s="15">
        <f>IF(OR(C34="A",M34&gt;=U34,N34+O34&lt;=0),0,MIN(1,(U34-M34)/(N34+O34)))</f>
      </c>
      <c r="X34" s="4">
        <f>IF(C34="A",N34+$B$6*R34,N34*(1-W34))</f>
      </c>
      <c r="Y34" s="4">
        <f>IF(C34="A",O34+$B$7*R34,O34*(1-W34))</f>
      </c>
      <c r="Z34" s="4">
        <f>IF(C34="A",P34+R34,MAX(0,P34-U34))</f>
      </c>
      <c r="AA34" s="4">
        <f>SUMIFS($B$27:$B$27,$A$27:$A$27,"&gt;"&amp;(B34-1),$A$27:$A$27,"&lt;="&amp;B34)</f>
      </c>
      <c r="AB34" s="4">
        <f>IF(AA34&gt;0,V34+$B$5*AA34,IF(AND(AA34&lt;0,(V34+X34+Y34)&gt;0),V34*(1-MIN(1,ABS(AA34)/(V34+X34+Y34))),V34))</f>
      </c>
      <c r="AC34" s="4">
        <f>IF(AA34&gt;0,X34+$B$6*AA34,IF(AND(AA34&lt;0,(V34+X34+Y34)&gt;0),X34*(1-MIN(1,ABS(AA34)/(V34+X34+Y34))),X34))</f>
      </c>
      <c r="AD34" s="4">
        <f>IF(AA34&gt;0,Y34+$B$7*AA34,IF(AND(AA34&lt;0,(V34+X34+Y34)&gt;0),Y34*(1-MIN(1,ABS(AA34)/(V34+X34+Y34))),Y34))</f>
      </c>
      <c r="AE34" s="4">
        <f>IF(AA34&gt;0,Z34+AA34,IF(AA34&lt;0,MAX(0,Z34+AA34),Z34))</f>
      </c>
      <c r="AF34" s="4">
        <f>AB34+AC34+AD34</f>
      </c>
      <c r="AG34" s="4">
        <f>IF(AND(AF34&gt;AE34,AF34&gt;0),(AF34-AE34)*$B$14,0)</f>
      </c>
      <c r="AH34" s="4">
        <f>MAX(0,AB34*IF(AF34&gt;0,(AF34-AG34)/AF34,1))</f>
      </c>
      <c r="AI34" s="4">
        <f>MAX(0,AC34*IF(AF34&gt;0,(AF34-AG34)/AF34,1))</f>
      </c>
      <c r="AJ34" s="4">
        <f>MAX(0,AD34*IF(AF34&gt;0,(AF34-AG34)/AF34,1))</f>
      </c>
      <c r="AK34" s="4">
        <f>IF(AG34&gt;0,AF34-AG34,AE34)</f>
      </c>
      <c r="AL34" s="4">
        <f>AH34+AI34+AJ34</f>
      </c>
      <c r="AM34" s="5">
        <v>316495.9706220479</v>
      </c>
      <c r="AN34" s="6">
        <f>AL34-AM34</f>
      </c>
    </row>
    <row r="35" spans="1:40" x14ac:dyDescent="0.25">
      <c r="A35">
        <v>2030</v>
      </c>
      <c r="B35">
        <v>59</v>
      </c>
      <c r="C35" s="14">
        <f>IF(B35&lt;$B$24,"A","E")</f>
      </c>
      <c r="D35" s="4">
        <f>AH34</f>
      </c>
      <c r="E35" s="4">
        <f>AI34</f>
      </c>
      <c r="F35" s="4">
        <f>AJ34</f>
      </c>
      <c r="G35" s="4">
        <f>AK34</f>
      </c>
      <c r="H35" s="15">
        <f>$B$8-$B$9</f>
      </c>
      <c r="I35" s="15">
        <f>$B$10-$B$11</f>
      </c>
      <c r="J35" s="15">
        <f>$B$12-$B$13</f>
      </c>
      <c r="K35" s="4">
        <f>D35*H35</f>
      </c>
      <c r="L35" s="4">
        <f>MAX(0,K35)*$B$15</f>
      </c>
      <c r="M35" s="4">
        <f>D35+K35-L35</f>
      </c>
      <c r="N35" s="4">
        <f>E35*(1+I35)</f>
      </c>
      <c r="O35" s="4">
        <f>F35*(1+J35)</f>
      </c>
      <c r="P35" s="4">
        <f>MAX(0,G35+K35-L35)</f>
      </c>
      <c r="Q35" s="16">
        <f>Q34*(1+$B$16)</f>
      </c>
      <c r="R35" s="4">
        <f>IF(C35="A",$B$17*12*IF($B$18=1,Q35,(1+$B$19)^4),0)</f>
      </c>
      <c r="S35" s="4">
        <f>IF(C35="A",0,$B$20*12*IF($B$23=1,Q35,1))</f>
      </c>
      <c r="T35" s="4">
        <f>IF(AND(NOT(C35="A"),B35&gt;=$B$22),$B$21*12*IF($B$23=1,Q35,1),0)</f>
      </c>
      <c r="U35" s="4">
        <f>MAX(0,S35-T35)</f>
      </c>
      <c r="V35" s="4">
        <f>IF(C35="A",M35+$B$5*R35,MAX(0,M35-U35))</f>
      </c>
      <c r="W35" s="15">
        <f>IF(OR(C35="A",M35&gt;=U35,N35+O35&lt;=0),0,MIN(1,(U35-M35)/(N35+O35)))</f>
      </c>
      <c r="X35" s="4">
        <f>IF(C35="A",N35+$B$6*R35,N35*(1-W35))</f>
      </c>
      <c r="Y35" s="4">
        <f>IF(C35="A",O35+$B$7*R35,O35*(1-W35))</f>
      </c>
      <c r="Z35" s="4">
        <f>IF(C35="A",P35+R35,MAX(0,P35-U35))</f>
      </c>
      <c r="AA35" s="4">
        <f>SUMIFS($B$27:$B$27,$A$27:$A$27,"&gt;"&amp;(B35-1),$A$27:$A$27,"&lt;="&amp;B35)</f>
      </c>
      <c r="AB35" s="4">
        <f>IF(AA35&gt;0,V35+$B$5*AA35,IF(AND(AA35&lt;0,(V35+X35+Y35)&gt;0),V35*(1-MIN(1,ABS(AA35)/(V35+X35+Y35))),V35))</f>
      </c>
      <c r="AC35" s="4">
        <f>IF(AA35&gt;0,X35+$B$6*AA35,IF(AND(AA35&lt;0,(V35+X35+Y35)&gt;0),X35*(1-MIN(1,ABS(AA35)/(V35+X35+Y35))),X35))</f>
      </c>
      <c r="AD35" s="4">
        <f>IF(AA35&gt;0,Y35+$B$7*AA35,IF(AND(AA35&lt;0,(V35+X35+Y35)&gt;0),Y35*(1-MIN(1,ABS(AA35)/(V35+X35+Y35))),Y35))</f>
      </c>
      <c r="AE35" s="4">
        <f>IF(AA35&gt;0,Z35+AA35,IF(AA35&lt;0,MAX(0,Z35+AA35),Z35))</f>
      </c>
      <c r="AF35" s="4">
        <f>AB35+AC35+AD35</f>
      </c>
      <c r="AG35" s="4">
        <f>IF(AND(AF35&gt;AE35,AF35&gt;0),(AF35-AE35)*$B$14,0)</f>
      </c>
      <c r="AH35" s="4">
        <f>MAX(0,AB35*IF(AF35&gt;0,(AF35-AG35)/AF35,1))</f>
      </c>
      <c r="AI35" s="4">
        <f>MAX(0,AC35*IF(AF35&gt;0,(AF35-AG35)/AF35,1))</f>
      </c>
      <c r="AJ35" s="4">
        <f>MAX(0,AD35*IF(AF35&gt;0,(AF35-AG35)/AF35,1))</f>
      </c>
      <c r="AK35" s="4">
        <f>IF(AG35&gt;0,AF35-AG35,AE35)</f>
      </c>
      <c r="AL35" s="4">
        <f>AH35+AI35+AJ35</f>
      </c>
      <c r="AM35" s="5">
        <v>335035.1720944865</v>
      </c>
      <c r="AN35" s="6">
        <f>AL35-AM35</f>
      </c>
    </row>
    <row r="36" spans="1:40" x14ac:dyDescent="0.25">
      <c r="A36">
        <v>2031</v>
      </c>
      <c r="B36">
        <v>60</v>
      </c>
      <c r="C36" s="14">
        <f>IF(B36&lt;$B$24,"A","E")</f>
      </c>
      <c r="D36" s="4">
        <f>AH35</f>
      </c>
      <c r="E36" s="4">
        <f>AI35</f>
      </c>
      <c r="F36" s="4">
        <f>AJ35</f>
      </c>
      <c r="G36" s="4">
        <f>AK35</f>
      </c>
      <c r="H36" s="15">
        <f>$B$8-$B$9</f>
      </c>
      <c r="I36" s="15">
        <f>$B$10-$B$11</f>
      </c>
      <c r="J36" s="15">
        <f>$B$12-$B$13</f>
      </c>
      <c r="K36" s="4">
        <f>D36*H36</f>
      </c>
      <c r="L36" s="4">
        <f>MAX(0,K36)*$B$15</f>
      </c>
      <c r="M36" s="4">
        <f>D36+K36-L36</f>
      </c>
      <c r="N36" s="4">
        <f>E36*(1+I36)</f>
      </c>
      <c r="O36" s="4">
        <f>F36*(1+J36)</f>
      </c>
      <c r="P36" s="4">
        <f>MAX(0,G36+K36-L36)</f>
      </c>
      <c r="Q36" s="16">
        <f>Q35*(1+$B$16)</f>
      </c>
      <c r="R36" s="4">
        <f>IF(C36="A",$B$17*12*IF($B$18=1,Q36,(1+$B$19)^5),0)</f>
      </c>
      <c r="S36" s="4">
        <f>IF(C36="A",0,$B$20*12*IF($B$23=1,Q36,1))</f>
      </c>
      <c r="T36" s="4">
        <f>IF(AND(NOT(C36="A"),B36&gt;=$B$22),$B$21*12*IF($B$23=1,Q36,1),0)</f>
      </c>
      <c r="U36" s="4">
        <f>MAX(0,S36-T36)</f>
      </c>
      <c r="V36" s="4">
        <f>IF(C36="A",M36+$B$5*R36,MAX(0,M36-U36))</f>
      </c>
      <c r="W36" s="15">
        <f>IF(OR(C36="A",M36&gt;=U36,N36+O36&lt;=0),0,MIN(1,(U36-M36)/(N36+O36)))</f>
      </c>
      <c r="X36" s="4">
        <f>IF(C36="A",N36+$B$6*R36,N36*(1-W36))</f>
      </c>
      <c r="Y36" s="4">
        <f>IF(C36="A",O36+$B$7*R36,O36*(1-W36))</f>
      </c>
      <c r="Z36" s="4">
        <f>IF(C36="A",P36+R36,MAX(0,P36-U36))</f>
      </c>
      <c r="AA36" s="4">
        <f>SUMIFS($B$27:$B$27,$A$27:$A$27,"&gt;"&amp;(B36-1),$A$27:$A$27,"&lt;="&amp;B36)</f>
      </c>
      <c r="AB36" s="4">
        <f>IF(AA36&gt;0,V36+$B$5*AA36,IF(AND(AA36&lt;0,(V36+X36+Y36)&gt;0),V36*(1-MIN(1,ABS(AA36)/(V36+X36+Y36))),V36))</f>
      </c>
      <c r="AC36" s="4">
        <f>IF(AA36&gt;0,X36+$B$6*AA36,IF(AND(AA36&lt;0,(V36+X36+Y36)&gt;0),X36*(1-MIN(1,ABS(AA36)/(V36+X36+Y36))),X36))</f>
      </c>
      <c r="AD36" s="4">
        <f>IF(AA36&gt;0,Y36+$B$7*AA36,IF(AND(AA36&lt;0,(V36+X36+Y36)&gt;0),Y36*(1-MIN(1,ABS(AA36)/(V36+X36+Y36))),Y36))</f>
      </c>
      <c r="AE36" s="4">
        <f>IF(AA36&gt;0,Z36+AA36,IF(AA36&lt;0,MAX(0,Z36+AA36),Z36))</f>
      </c>
      <c r="AF36" s="4">
        <f>AB36+AC36+AD36</f>
      </c>
      <c r="AG36" s="4">
        <f>IF(AND(AF36&gt;AE36,AF36&gt;0),(AF36-AE36)*$B$14,0)</f>
      </c>
      <c r="AH36" s="4">
        <f>MAX(0,AB36*IF(AF36&gt;0,(AF36-AG36)/AF36,1))</f>
      </c>
      <c r="AI36" s="4">
        <f>MAX(0,AC36*IF(AF36&gt;0,(AF36-AG36)/AF36,1))</f>
      </c>
      <c r="AJ36" s="4">
        <f>MAX(0,AD36*IF(AF36&gt;0,(AF36-AG36)/AF36,1))</f>
      </c>
      <c r="AK36" s="4">
        <f>IF(AG36&gt;0,AF36-AG36,AE36)</f>
      </c>
      <c r="AL36" s="4">
        <f>AH36+AI36+AJ36</f>
      </c>
      <c r="AM36" s="5">
        <v>354405.6910277569</v>
      </c>
      <c r="AN36" s="6">
        <f>AL36-AM36</f>
      </c>
    </row>
    <row r="37" spans="1:40" x14ac:dyDescent="0.25">
      <c r="A37">
        <v>2032</v>
      </c>
      <c r="B37">
        <v>61</v>
      </c>
      <c r="C37" s="14">
        <f>IF(B37&lt;$B$24,"A","E")</f>
      </c>
      <c r="D37" s="4">
        <f>AH36</f>
      </c>
      <c r="E37" s="4">
        <f>AI36</f>
      </c>
      <c r="F37" s="4">
        <f>AJ36</f>
      </c>
      <c r="G37" s="4">
        <f>AK36</f>
      </c>
      <c r="H37" s="15">
        <f>$B$8-$B$9</f>
      </c>
      <c r="I37" s="15">
        <f>$B$10-$B$11</f>
      </c>
      <c r="J37" s="15">
        <f>$B$12-$B$13</f>
      </c>
      <c r="K37" s="4">
        <f>D37*H37</f>
      </c>
      <c r="L37" s="4">
        <f>MAX(0,K37)*$B$15</f>
      </c>
      <c r="M37" s="4">
        <f>D37+K37-L37</f>
      </c>
      <c r="N37" s="4">
        <f>E37*(1+I37)</f>
      </c>
      <c r="O37" s="4">
        <f>F37*(1+J37)</f>
      </c>
      <c r="P37" s="4">
        <f>MAX(0,G37+K37-L37)</f>
      </c>
      <c r="Q37" s="16">
        <f>Q36*(1+$B$16)</f>
      </c>
      <c r="R37" s="4">
        <f>IF(C37="A",$B$17*12*IF($B$18=1,Q37,(1+$B$19)^6),0)</f>
      </c>
      <c r="S37" s="4">
        <f>IF(C37="A",0,$B$20*12*IF($B$23=1,Q37,1))</f>
      </c>
      <c r="T37" s="4">
        <f>IF(AND(NOT(C37="A"),B37&gt;=$B$22),$B$21*12*IF($B$23=1,Q37,1),0)</f>
      </c>
      <c r="U37" s="4">
        <f>MAX(0,S37-T37)</f>
      </c>
      <c r="V37" s="4">
        <f>IF(C37="A",M37+$B$5*R37,MAX(0,M37-U37))</f>
      </c>
      <c r="W37" s="15">
        <f>IF(OR(C37="A",M37&gt;=U37,N37+O37&lt;=0),0,MIN(1,(U37-M37)/(N37+O37)))</f>
      </c>
      <c r="X37" s="4">
        <f>IF(C37="A",N37+$B$6*R37,N37*(1-W37))</f>
      </c>
      <c r="Y37" s="4">
        <f>IF(C37="A",O37+$B$7*R37,O37*(1-W37))</f>
      </c>
      <c r="Z37" s="4">
        <f>IF(C37="A",P37+R37,MAX(0,P37-U37))</f>
      </c>
      <c r="AA37" s="4">
        <f>SUMIFS($B$27:$B$27,$A$27:$A$27,"&gt;"&amp;(B37-1),$A$27:$A$27,"&lt;="&amp;B37)</f>
      </c>
      <c r="AB37" s="4">
        <f>IF(AA37&gt;0,V37+$B$5*AA37,IF(AND(AA37&lt;0,(V37+X37+Y37)&gt;0),V37*(1-MIN(1,ABS(AA37)/(V37+X37+Y37))),V37))</f>
      </c>
      <c r="AC37" s="4">
        <f>IF(AA37&gt;0,X37+$B$6*AA37,IF(AND(AA37&lt;0,(V37+X37+Y37)&gt;0),X37*(1-MIN(1,ABS(AA37)/(V37+X37+Y37))),X37))</f>
      </c>
      <c r="AD37" s="4">
        <f>IF(AA37&gt;0,Y37+$B$7*AA37,IF(AND(AA37&lt;0,(V37+X37+Y37)&gt;0),Y37*(1-MIN(1,ABS(AA37)/(V37+X37+Y37))),Y37))</f>
      </c>
      <c r="AE37" s="4">
        <f>IF(AA37&gt;0,Z37+AA37,IF(AA37&lt;0,MAX(0,Z37+AA37),Z37))</f>
      </c>
      <c r="AF37" s="4">
        <f>AB37+AC37+AD37</f>
      </c>
      <c r="AG37" s="4">
        <f>IF(AND(AF37&gt;AE37,AF37&gt;0),(AF37-AE37)*$B$14,0)</f>
      </c>
      <c r="AH37" s="4">
        <f>MAX(0,AB37*IF(AF37&gt;0,(AF37-AG37)/AF37,1))</f>
      </c>
      <c r="AI37" s="4">
        <f>MAX(0,AC37*IF(AF37&gt;0,(AF37-AG37)/AF37,1))</f>
      </c>
      <c r="AJ37" s="4">
        <f>MAX(0,AD37*IF(AF37&gt;0,(AF37-AG37)/AF37,1))</f>
      </c>
      <c r="AK37" s="4">
        <f>IF(AG37&gt;0,AF37-AG37,AE37)</f>
      </c>
      <c r="AL37" s="4">
        <f>AH37+AI37+AJ37</f>
      </c>
      <c r="AM37" s="5">
        <v>374642.5146638829</v>
      </c>
      <c r="AN37" s="6">
        <f>AL37-AM37</f>
      </c>
    </row>
    <row r="38" spans="1:40" x14ac:dyDescent="0.25">
      <c r="A38">
        <v>2033</v>
      </c>
      <c r="B38">
        <v>62</v>
      </c>
      <c r="C38" s="14">
        <f>IF(B38&lt;$B$24,"A","E")</f>
      </c>
      <c r="D38" s="4">
        <f>AH37</f>
      </c>
      <c r="E38" s="4">
        <f>AI37</f>
      </c>
      <c r="F38" s="4">
        <f>AJ37</f>
      </c>
      <c r="G38" s="4">
        <f>AK37</f>
      </c>
      <c r="H38" s="15">
        <f>$B$8-$B$9</f>
      </c>
      <c r="I38" s="15">
        <f>$B$10-$B$11</f>
      </c>
      <c r="J38" s="15">
        <f>$B$12-$B$13</f>
      </c>
      <c r="K38" s="4">
        <f>D38*H38</f>
      </c>
      <c r="L38" s="4">
        <f>MAX(0,K38)*$B$15</f>
      </c>
      <c r="M38" s="4">
        <f>D38+K38-L38</f>
      </c>
      <c r="N38" s="4">
        <f>E38*(1+I38)</f>
      </c>
      <c r="O38" s="4">
        <f>F38*(1+J38)</f>
      </c>
      <c r="P38" s="4">
        <f>MAX(0,G38+K38-L38)</f>
      </c>
      <c r="Q38" s="16">
        <f>Q37*(1+$B$16)</f>
      </c>
      <c r="R38" s="4">
        <f>IF(C38="A",$B$17*12*IF($B$18=1,Q38,(1+$B$19)^7),0)</f>
      </c>
      <c r="S38" s="4">
        <f>IF(C38="A",0,$B$20*12*IF($B$23=1,Q38,1))</f>
      </c>
      <c r="T38" s="4">
        <f>IF(AND(NOT(C38="A"),B38&gt;=$B$22),$B$21*12*IF($B$23=1,Q38,1),0)</f>
      </c>
      <c r="U38" s="4">
        <f>MAX(0,S38-T38)</f>
      </c>
      <c r="V38" s="4">
        <f>IF(C38="A",M38+$B$5*R38,MAX(0,M38-U38))</f>
      </c>
      <c r="W38" s="15">
        <f>IF(OR(C38="A",M38&gt;=U38,N38+O38&lt;=0),0,MIN(1,(U38-M38)/(N38+O38)))</f>
      </c>
      <c r="X38" s="4">
        <f>IF(C38="A",N38+$B$6*R38,N38*(1-W38))</f>
      </c>
      <c r="Y38" s="4">
        <f>IF(C38="A",O38+$B$7*R38,O38*(1-W38))</f>
      </c>
      <c r="Z38" s="4">
        <f>IF(C38="A",P38+R38,MAX(0,P38-U38))</f>
      </c>
      <c r="AA38" s="4">
        <f>SUMIFS($B$27:$B$27,$A$27:$A$27,"&gt;"&amp;(B38-1),$A$27:$A$27,"&lt;="&amp;B38)</f>
      </c>
      <c r="AB38" s="4">
        <f>IF(AA38&gt;0,V38+$B$5*AA38,IF(AND(AA38&lt;0,(V38+X38+Y38)&gt;0),V38*(1-MIN(1,ABS(AA38)/(V38+X38+Y38))),V38))</f>
      </c>
      <c r="AC38" s="4">
        <f>IF(AA38&gt;0,X38+$B$6*AA38,IF(AND(AA38&lt;0,(V38+X38+Y38)&gt;0),X38*(1-MIN(1,ABS(AA38)/(V38+X38+Y38))),X38))</f>
      </c>
      <c r="AD38" s="4">
        <f>IF(AA38&gt;0,Y38+$B$7*AA38,IF(AND(AA38&lt;0,(V38+X38+Y38)&gt;0),Y38*(1-MIN(1,ABS(AA38)/(V38+X38+Y38))),Y38))</f>
      </c>
      <c r="AE38" s="4">
        <f>IF(AA38&gt;0,Z38+AA38,IF(AA38&lt;0,MAX(0,Z38+AA38),Z38))</f>
      </c>
      <c r="AF38" s="4">
        <f>AB38+AC38+AD38</f>
      </c>
      <c r="AG38" s="4">
        <f>IF(AND(AF38&gt;AE38,AF38&gt;0),(AF38-AE38)*$B$14,0)</f>
      </c>
      <c r="AH38" s="4">
        <f>MAX(0,AB38*IF(AF38&gt;0,(AF38-AG38)/AF38,1))</f>
      </c>
      <c r="AI38" s="4">
        <f>MAX(0,AC38*IF(AF38&gt;0,(AF38-AG38)/AF38,1))</f>
      </c>
      <c r="AJ38" s="4">
        <f>MAX(0,AD38*IF(AF38&gt;0,(AF38-AG38)/AF38,1))</f>
      </c>
      <c r="AK38" s="4">
        <f>IF(AG38&gt;0,AF38-AG38,AE38)</f>
      </c>
      <c r="AL38" s="4">
        <f>AH38+AI38+AJ38</f>
      </c>
      <c r="AM38" s="5">
        <v>395782.07398441964</v>
      </c>
      <c r="AN38" s="6">
        <f>AL38-AM38</f>
      </c>
    </row>
    <row r="39" spans="1:40" x14ac:dyDescent="0.25">
      <c r="A39">
        <v>2034</v>
      </c>
      <c r="B39">
        <v>63</v>
      </c>
      <c r="C39" s="14">
        <f>IF(B39&lt;$B$24,"A","E")</f>
      </c>
      <c r="D39" s="4">
        <f>AH38</f>
      </c>
      <c r="E39" s="4">
        <f>AI38</f>
      </c>
      <c r="F39" s="4">
        <f>AJ38</f>
      </c>
      <c r="G39" s="4">
        <f>AK38</f>
      </c>
      <c r="H39" s="15">
        <f>$B$8-$B$9</f>
      </c>
      <c r="I39" s="15">
        <f>$B$10-$B$11</f>
      </c>
      <c r="J39" s="15">
        <f>$B$12-$B$13</f>
      </c>
      <c r="K39" s="4">
        <f>D39*H39</f>
      </c>
      <c r="L39" s="4">
        <f>MAX(0,K39)*$B$15</f>
      </c>
      <c r="M39" s="4">
        <f>D39+K39-L39</f>
      </c>
      <c r="N39" s="4">
        <f>E39*(1+I39)</f>
      </c>
      <c r="O39" s="4">
        <f>F39*(1+J39)</f>
      </c>
      <c r="P39" s="4">
        <f>MAX(0,G39+K39-L39)</f>
      </c>
      <c r="Q39" s="16">
        <f>Q38*(1+$B$16)</f>
      </c>
      <c r="R39" s="4">
        <f>IF(C39="A",$B$17*12*IF($B$18=1,Q39,(1+$B$19)^8),0)</f>
      </c>
      <c r="S39" s="4">
        <f>IF(C39="A",0,$B$20*12*IF($B$23=1,Q39,1))</f>
      </c>
      <c r="T39" s="4">
        <f>IF(AND(NOT(C39="A"),B39&gt;=$B$22),$B$21*12*IF($B$23=1,Q39,1),0)</f>
      </c>
      <c r="U39" s="4">
        <f>MAX(0,S39-T39)</f>
      </c>
      <c r="V39" s="4">
        <f>IF(C39="A",M39+$B$5*R39,MAX(0,M39-U39))</f>
      </c>
      <c r="W39" s="15">
        <f>IF(OR(C39="A",M39&gt;=U39,N39+O39&lt;=0),0,MIN(1,(U39-M39)/(N39+O39)))</f>
      </c>
      <c r="X39" s="4">
        <f>IF(C39="A",N39+$B$6*R39,N39*(1-W39))</f>
      </c>
      <c r="Y39" s="4">
        <f>IF(C39="A",O39+$B$7*R39,O39*(1-W39))</f>
      </c>
      <c r="Z39" s="4">
        <f>IF(C39="A",P39+R39,MAX(0,P39-U39))</f>
      </c>
      <c r="AA39" s="4">
        <f>SUMIFS($B$27:$B$27,$A$27:$A$27,"&gt;"&amp;(B39-1),$A$27:$A$27,"&lt;="&amp;B39)</f>
      </c>
      <c r="AB39" s="4">
        <f>IF(AA39&gt;0,V39+$B$5*AA39,IF(AND(AA39&lt;0,(V39+X39+Y39)&gt;0),V39*(1-MIN(1,ABS(AA39)/(V39+X39+Y39))),V39))</f>
      </c>
      <c r="AC39" s="4">
        <f>IF(AA39&gt;0,X39+$B$6*AA39,IF(AND(AA39&lt;0,(V39+X39+Y39)&gt;0),X39*(1-MIN(1,ABS(AA39)/(V39+X39+Y39))),X39))</f>
      </c>
      <c r="AD39" s="4">
        <f>IF(AA39&gt;0,Y39+$B$7*AA39,IF(AND(AA39&lt;0,(V39+X39+Y39)&gt;0),Y39*(1-MIN(1,ABS(AA39)/(V39+X39+Y39))),Y39))</f>
      </c>
      <c r="AE39" s="4">
        <f>IF(AA39&gt;0,Z39+AA39,IF(AA39&lt;0,MAX(0,Z39+AA39),Z39))</f>
      </c>
      <c r="AF39" s="4">
        <f>AB39+AC39+AD39</f>
      </c>
      <c r="AG39" s="4">
        <f>IF(AND(AF39&gt;AE39,AF39&gt;0),(AF39-AE39)*$B$14,0)</f>
      </c>
      <c r="AH39" s="4">
        <f>MAX(0,AB39*IF(AF39&gt;0,(AF39-AG39)/AF39,1))</f>
      </c>
      <c r="AI39" s="4">
        <f>MAX(0,AC39*IF(AF39&gt;0,(AF39-AG39)/AF39,1))</f>
      </c>
      <c r="AJ39" s="4">
        <f>MAX(0,AD39*IF(AF39&gt;0,(AF39-AG39)/AF39,1))</f>
      </c>
      <c r="AK39" s="4">
        <f>IF(AG39&gt;0,AF39-AG39,AE39)</f>
      </c>
      <c r="AL39" s="4">
        <f>AH39+AI39+AJ39</f>
      </c>
      <c r="AM39" s="5">
        <v>417862.3029415951</v>
      </c>
      <c r="AN39" s="6">
        <f>AL39-AM39</f>
      </c>
    </row>
    <row r="40" spans="1:40" x14ac:dyDescent="0.25">
      <c r="A40">
        <v>2035</v>
      </c>
      <c r="B40">
        <v>64</v>
      </c>
      <c r="C40" s="14">
        <f>IF(B40&lt;$B$24,"A","E")</f>
      </c>
      <c r="D40" s="4">
        <f>AH39</f>
      </c>
      <c r="E40" s="4">
        <f>AI39</f>
      </c>
      <c r="F40" s="4">
        <f>AJ39</f>
      </c>
      <c r="G40" s="4">
        <f>AK39</f>
      </c>
      <c r="H40" s="15">
        <f>$B$8-$B$9</f>
      </c>
      <c r="I40" s="15">
        <f>$B$10-$B$11</f>
      </c>
      <c r="J40" s="15">
        <f>$B$12-$B$13</f>
      </c>
      <c r="K40" s="4">
        <f>D40*H40</f>
      </c>
      <c r="L40" s="4">
        <f>MAX(0,K40)*$B$15</f>
      </c>
      <c r="M40" s="4">
        <f>D40+K40-L40</f>
      </c>
      <c r="N40" s="4">
        <f>E40*(1+I40)</f>
      </c>
      <c r="O40" s="4">
        <f>F40*(1+J40)</f>
      </c>
      <c r="P40" s="4">
        <f>MAX(0,G40+K40-L40)</f>
      </c>
      <c r="Q40" s="16">
        <f>Q39*(1+$B$16)</f>
      </c>
      <c r="R40" s="4">
        <f>IF(C40="A",$B$17*12*IF($B$18=1,Q40,(1+$B$19)^9),0)</f>
      </c>
      <c r="S40" s="4">
        <f>IF(C40="A",0,$B$20*12*IF($B$23=1,Q40,1))</f>
      </c>
      <c r="T40" s="4">
        <f>IF(AND(NOT(C40="A"),B40&gt;=$B$22),$B$21*12*IF($B$23=1,Q40,1),0)</f>
      </c>
      <c r="U40" s="4">
        <f>MAX(0,S40-T40)</f>
      </c>
      <c r="V40" s="4">
        <f>IF(C40="A",M40+$B$5*R40,MAX(0,M40-U40))</f>
      </c>
      <c r="W40" s="15">
        <f>IF(OR(C40="A",M40&gt;=U40,N40+O40&lt;=0),0,MIN(1,(U40-M40)/(N40+O40)))</f>
      </c>
      <c r="X40" s="4">
        <f>IF(C40="A",N40+$B$6*R40,N40*(1-W40))</f>
      </c>
      <c r="Y40" s="4">
        <f>IF(C40="A",O40+$B$7*R40,O40*(1-W40))</f>
      </c>
      <c r="Z40" s="4">
        <f>IF(C40="A",P40+R40,MAX(0,P40-U40))</f>
      </c>
      <c r="AA40" s="4">
        <f>SUMIFS($B$27:$B$27,$A$27:$A$27,"&gt;"&amp;(B40-1),$A$27:$A$27,"&lt;="&amp;B40)</f>
      </c>
      <c r="AB40" s="4">
        <f>IF(AA40&gt;0,V40+$B$5*AA40,IF(AND(AA40&lt;0,(V40+X40+Y40)&gt;0),V40*(1-MIN(1,ABS(AA40)/(V40+X40+Y40))),V40))</f>
      </c>
      <c r="AC40" s="4">
        <f>IF(AA40&gt;0,X40+$B$6*AA40,IF(AND(AA40&lt;0,(V40+X40+Y40)&gt;0),X40*(1-MIN(1,ABS(AA40)/(V40+X40+Y40))),X40))</f>
      </c>
      <c r="AD40" s="4">
        <f>IF(AA40&gt;0,Y40+$B$7*AA40,IF(AND(AA40&lt;0,(V40+X40+Y40)&gt;0),Y40*(1-MIN(1,ABS(AA40)/(V40+X40+Y40))),Y40))</f>
      </c>
      <c r="AE40" s="4">
        <f>IF(AA40&gt;0,Z40+AA40,IF(AA40&lt;0,MAX(0,Z40+AA40),Z40))</f>
      </c>
      <c r="AF40" s="4">
        <f>AB40+AC40+AD40</f>
      </c>
      <c r="AG40" s="4">
        <f>IF(AND(AF40&gt;AE40,AF40&gt;0),(AF40-AE40)*$B$14,0)</f>
      </c>
      <c r="AH40" s="4">
        <f>MAX(0,AB40*IF(AF40&gt;0,(AF40-AG40)/AF40,1))</f>
      </c>
      <c r="AI40" s="4">
        <f>MAX(0,AC40*IF(AF40&gt;0,(AF40-AG40)/AF40,1))</f>
      </c>
      <c r="AJ40" s="4">
        <f>MAX(0,AD40*IF(AF40&gt;0,(AF40-AG40)/AF40,1))</f>
      </c>
      <c r="AK40" s="4">
        <f>IF(AG40&gt;0,AF40-AG40,AE40)</f>
      </c>
      <c r="AL40" s="4">
        <f>AH40+AI40+AJ40</f>
      </c>
      <c r="AM40" s="5">
        <v>440922.7001034902</v>
      </c>
      <c r="AN40" s="6">
        <f>AL40-AM40</f>
      </c>
    </row>
    <row r="41" spans="1:40" x14ac:dyDescent="0.25">
      <c r="A41">
        <v>2036</v>
      </c>
      <c r="B41">
        <v>65</v>
      </c>
      <c r="C41" s="14">
        <f>IF(B41&lt;$B$24,"A","E")</f>
      </c>
      <c r="D41" s="4">
        <f>AH40</f>
      </c>
      <c r="E41" s="4">
        <f>AI40</f>
      </c>
      <c r="F41" s="4">
        <f>AJ40</f>
      </c>
      <c r="G41" s="4">
        <f>AK40</f>
      </c>
      <c r="H41" s="15">
        <f>$B$8-$B$9</f>
      </c>
      <c r="I41" s="15">
        <f>$B$10-$B$11</f>
      </c>
      <c r="J41" s="15">
        <f>$B$12-$B$13</f>
      </c>
      <c r="K41" s="4">
        <f>D41*H41</f>
      </c>
      <c r="L41" s="4">
        <f>MAX(0,K41)*$B$15</f>
      </c>
      <c r="M41" s="4">
        <f>D41+K41-L41</f>
      </c>
      <c r="N41" s="4">
        <f>E41*(1+I41)</f>
      </c>
      <c r="O41" s="4">
        <f>F41*(1+J41)</f>
      </c>
      <c r="P41" s="4">
        <f>MAX(0,G41+K41-L41)</f>
      </c>
      <c r="Q41" s="16">
        <f>Q40*(1+$B$16)</f>
      </c>
      <c r="R41" s="4">
        <f>IF(C41="A",$B$17*12*IF($B$18=1,Q41,(1+$B$19)^10),0)</f>
      </c>
      <c r="S41" s="4">
        <f>IF(C41="A",0,$B$20*12*IF($B$23=1,Q41,1))</f>
      </c>
      <c r="T41" s="4">
        <f>IF(AND(NOT(C41="A"),B41&gt;=$B$22),$B$21*12*IF($B$23=1,Q41,1),0)</f>
      </c>
      <c r="U41" s="4">
        <f>MAX(0,S41-T41)</f>
      </c>
      <c r="V41" s="4">
        <f>IF(C41="A",M41+$B$5*R41,MAX(0,M41-U41))</f>
      </c>
      <c r="W41" s="15">
        <f>IF(OR(C41="A",M41&gt;=U41,N41+O41&lt;=0),0,MIN(1,(U41-M41)/(N41+O41)))</f>
      </c>
      <c r="X41" s="4">
        <f>IF(C41="A",N41+$B$6*R41,N41*(1-W41))</f>
      </c>
      <c r="Y41" s="4">
        <f>IF(C41="A",O41+$B$7*R41,O41*(1-W41))</f>
      </c>
      <c r="Z41" s="4">
        <f>IF(C41="A",P41+R41,MAX(0,P41-U41))</f>
      </c>
      <c r="AA41" s="4">
        <f>SUMIFS($B$27:$B$27,$A$27:$A$27,"&gt;"&amp;(B41-1),$A$27:$A$27,"&lt;="&amp;B41)</f>
      </c>
      <c r="AB41" s="4">
        <f>IF(AA41&gt;0,V41+$B$5*AA41,IF(AND(AA41&lt;0,(V41+X41+Y41)&gt;0),V41*(1-MIN(1,ABS(AA41)/(V41+X41+Y41))),V41))</f>
      </c>
      <c r="AC41" s="4">
        <f>IF(AA41&gt;0,X41+$B$6*AA41,IF(AND(AA41&lt;0,(V41+X41+Y41)&gt;0),X41*(1-MIN(1,ABS(AA41)/(V41+X41+Y41))),X41))</f>
      </c>
      <c r="AD41" s="4">
        <f>IF(AA41&gt;0,Y41+$B$7*AA41,IF(AND(AA41&lt;0,(V41+X41+Y41)&gt;0),Y41*(1-MIN(1,ABS(AA41)/(V41+X41+Y41))),Y41))</f>
      </c>
      <c r="AE41" s="4">
        <f>IF(AA41&gt;0,Z41+AA41,IF(AA41&lt;0,MAX(0,Z41+AA41),Z41))</f>
      </c>
      <c r="AF41" s="4">
        <f>AB41+AC41+AD41</f>
      </c>
      <c r="AG41" s="4">
        <f>IF(AND(AF41&gt;AE41,AF41&gt;0),(AF41-AE41)*$B$14,0)</f>
      </c>
      <c r="AH41" s="4">
        <f>MAX(0,AB41*IF(AF41&gt;0,(AF41-AG41)/AF41,1))</f>
      </c>
      <c r="AI41" s="4">
        <f>MAX(0,AC41*IF(AF41&gt;0,(AF41-AG41)/AF41,1))</f>
      </c>
      <c r="AJ41" s="4">
        <f>MAX(0,AD41*IF(AF41&gt;0,(AF41-AG41)/AF41,1))</f>
      </c>
      <c r="AK41" s="4">
        <f>IF(AG41&gt;0,AF41-AG41,AE41)</f>
      </c>
      <c r="AL41" s="4">
        <f>AH41+AI41+AJ41</f>
      </c>
      <c r="AM41" s="5">
        <v>434102.79557013465</v>
      </c>
      <c r="AN41" s="6">
        <f>AL41-AM41</f>
      </c>
    </row>
    <row r="42" spans="1:40" x14ac:dyDescent="0.25">
      <c r="A42">
        <v>2037</v>
      </c>
      <c r="B42">
        <v>66</v>
      </c>
      <c r="C42" s="14">
        <f>IF(B42&lt;$B$24,"A","E")</f>
      </c>
      <c r="D42" s="4">
        <f>AH41</f>
      </c>
      <c r="E42" s="4">
        <f>AI41</f>
      </c>
      <c r="F42" s="4">
        <f>AJ41</f>
      </c>
      <c r="G42" s="4">
        <f>AK41</f>
      </c>
      <c r="H42" s="15">
        <f>$B$8-$B$9</f>
      </c>
      <c r="I42" s="15">
        <f>$B$10-$B$11</f>
      </c>
      <c r="J42" s="15">
        <f>$B$12-$B$13</f>
      </c>
      <c r="K42" s="4">
        <f>D42*H42</f>
      </c>
      <c r="L42" s="4">
        <f>MAX(0,K42)*$B$15</f>
      </c>
      <c r="M42" s="4">
        <f>D42+K42-L42</f>
      </c>
      <c r="N42" s="4">
        <f>E42*(1+I42)</f>
      </c>
      <c r="O42" s="4">
        <f>F42*(1+J42)</f>
      </c>
      <c r="P42" s="4">
        <f>MAX(0,G42+K42-L42)</f>
      </c>
      <c r="Q42" s="16">
        <f>Q41*(1+$B$16)</f>
      </c>
      <c r="R42" s="4">
        <f>IF(C42="A",$B$17*12*IF($B$18=1,Q42,(1+$B$19)^11),0)</f>
      </c>
      <c r="S42" s="4">
        <f>IF(C42="A",0,$B$20*12*IF($B$23=1,Q42,1))</f>
      </c>
      <c r="T42" s="4">
        <f>IF(AND(NOT(C42="A"),B42&gt;=$B$22),$B$21*12*IF($B$23=1,Q42,1),0)</f>
      </c>
      <c r="U42" s="4">
        <f>MAX(0,S42-T42)</f>
      </c>
      <c r="V42" s="4">
        <f>IF(C42="A",M42+$B$5*R42,MAX(0,M42-U42))</f>
      </c>
      <c r="W42" s="15">
        <f>IF(OR(C42="A",M42&gt;=U42,N42+O42&lt;=0),0,MIN(1,(U42-M42)/(N42+O42)))</f>
      </c>
      <c r="X42" s="4">
        <f>IF(C42="A",N42+$B$6*R42,N42*(1-W42))</f>
      </c>
      <c r="Y42" s="4">
        <f>IF(C42="A",O42+$B$7*R42,O42*(1-W42))</f>
      </c>
      <c r="Z42" s="4">
        <f>IF(C42="A",P42+R42,MAX(0,P42-U42))</f>
      </c>
      <c r="AA42" s="4">
        <f>SUMIFS($B$27:$B$27,$A$27:$A$27,"&gt;"&amp;(B42-1),$A$27:$A$27,"&lt;="&amp;B42)</f>
      </c>
      <c r="AB42" s="4">
        <f>IF(AA42&gt;0,V42+$B$5*AA42,IF(AND(AA42&lt;0,(V42+X42+Y42)&gt;0),V42*(1-MIN(1,ABS(AA42)/(V42+X42+Y42))),V42))</f>
      </c>
      <c r="AC42" s="4">
        <f>IF(AA42&gt;0,X42+$B$6*AA42,IF(AND(AA42&lt;0,(V42+X42+Y42)&gt;0),X42*(1-MIN(1,ABS(AA42)/(V42+X42+Y42))),X42))</f>
      </c>
      <c r="AD42" s="4">
        <f>IF(AA42&gt;0,Y42+$B$7*AA42,IF(AND(AA42&lt;0,(V42+X42+Y42)&gt;0),Y42*(1-MIN(1,ABS(AA42)/(V42+X42+Y42))),Y42))</f>
      </c>
      <c r="AE42" s="4">
        <f>IF(AA42&gt;0,Z42+AA42,IF(AA42&lt;0,MAX(0,Z42+AA42),Z42))</f>
      </c>
      <c r="AF42" s="4">
        <f>AB42+AC42+AD42</f>
      </c>
      <c r="AG42" s="4">
        <f>IF(AND(AF42&gt;AE42,AF42&gt;0),(AF42-AE42)*$B$14,0)</f>
      </c>
      <c r="AH42" s="4">
        <f>MAX(0,AB42*IF(AF42&gt;0,(AF42-AG42)/AF42,1))</f>
      </c>
      <c r="AI42" s="4">
        <f>MAX(0,AC42*IF(AF42&gt;0,(AF42-AG42)/AF42,1))</f>
      </c>
      <c r="AJ42" s="4">
        <f>MAX(0,AD42*IF(AF42&gt;0,(AF42-AG42)/AF42,1))</f>
      </c>
      <c r="AK42" s="4">
        <f>IF(AG42&gt;0,AF42-AG42,AE42)</f>
      </c>
      <c r="AL42" s="4">
        <f>AH42+AI42+AJ42</f>
      </c>
      <c r="AM42" s="5">
        <v>427448.6797764319</v>
      </c>
      <c r="AN42" s="6">
        <f>AL42-AM42</f>
      </c>
    </row>
    <row r="43" spans="1:40" x14ac:dyDescent="0.25">
      <c r="A43">
        <v>2038</v>
      </c>
      <c r="B43">
        <v>67</v>
      </c>
      <c r="C43" s="14">
        <f>IF(B43&lt;$B$24,"A","E")</f>
      </c>
      <c r="D43" s="4">
        <f>AH42</f>
      </c>
      <c r="E43" s="4">
        <f>AI42</f>
      </c>
      <c r="F43" s="4">
        <f>AJ42</f>
      </c>
      <c r="G43" s="4">
        <f>AK42</f>
      </c>
      <c r="H43" s="15">
        <f>$B$8-$B$9</f>
      </c>
      <c r="I43" s="15">
        <f>$B$10-$B$11</f>
      </c>
      <c r="J43" s="15">
        <f>$B$12-$B$13</f>
      </c>
      <c r="K43" s="4">
        <f>D43*H43</f>
      </c>
      <c r="L43" s="4">
        <f>MAX(0,K43)*$B$15</f>
      </c>
      <c r="M43" s="4">
        <f>D43+K43-L43</f>
      </c>
      <c r="N43" s="4">
        <f>E43*(1+I43)</f>
      </c>
      <c r="O43" s="4">
        <f>F43*(1+J43)</f>
      </c>
      <c r="P43" s="4">
        <f>MAX(0,G43+K43-L43)</f>
      </c>
      <c r="Q43" s="16">
        <f>Q42*(1+$B$16)</f>
      </c>
      <c r="R43" s="4">
        <f>IF(C43="A",$B$17*12*IF($B$18=1,Q43,(1+$B$19)^12),0)</f>
      </c>
      <c r="S43" s="4">
        <f>IF(C43="A",0,$B$20*12*IF($B$23=1,Q43,1))</f>
      </c>
      <c r="T43" s="4">
        <f>IF(AND(NOT(C43="A"),B43&gt;=$B$22),$B$21*12*IF($B$23=1,Q43,1),0)</f>
      </c>
      <c r="U43" s="4">
        <f>MAX(0,S43-T43)</f>
      </c>
      <c r="V43" s="4">
        <f>IF(C43="A",M43+$B$5*R43,MAX(0,M43-U43))</f>
      </c>
      <c r="W43" s="15">
        <f>IF(OR(C43="A",M43&gt;=U43,N43+O43&lt;=0),0,MIN(1,(U43-M43)/(N43+O43)))</f>
      </c>
      <c r="X43" s="4">
        <f>IF(C43="A",N43+$B$6*R43,N43*(1-W43))</f>
      </c>
      <c r="Y43" s="4">
        <f>IF(C43="A",O43+$B$7*R43,O43*(1-W43))</f>
      </c>
      <c r="Z43" s="4">
        <f>IF(C43="A",P43+R43,MAX(0,P43-U43))</f>
      </c>
      <c r="AA43" s="4">
        <f>SUMIFS($B$27:$B$27,$A$27:$A$27,"&gt;"&amp;(B43-1),$A$27:$A$27,"&lt;="&amp;B43)</f>
      </c>
      <c r="AB43" s="4">
        <f>IF(AA43&gt;0,V43+$B$5*AA43,IF(AND(AA43&lt;0,(V43+X43+Y43)&gt;0),V43*(1-MIN(1,ABS(AA43)/(V43+X43+Y43))),V43))</f>
      </c>
      <c r="AC43" s="4">
        <f>IF(AA43&gt;0,X43+$B$6*AA43,IF(AND(AA43&lt;0,(V43+X43+Y43)&gt;0),X43*(1-MIN(1,ABS(AA43)/(V43+X43+Y43))),X43))</f>
      </c>
      <c r="AD43" s="4">
        <f>IF(AA43&gt;0,Y43+$B$7*AA43,IF(AND(AA43&lt;0,(V43+X43+Y43)&gt;0),Y43*(1-MIN(1,ABS(AA43)/(V43+X43+Y43))),Y43))</f>
      </c>
      <c r="AE43" s="4">
        <f>IF(AA43&gt;0,Z43+AA43,IF(AA43&lt;0,MAX(0,Z43+AA43),Z43))</f>
      </c>
      <c r="AF43" s="4">
        <f>AB43+AC43+AD43</f>
      </c>
      <c r="AG43" s="4">
        <f>IF(AND(AF43&gt;AE43,AF43&gt;0),(AF43-AE43)*$B$14,0)</f>
      </c>
      <c r="AH43" s="4">
        <f>MAX(0,AB43*IF(AF43&gt;0,(AF43-AG43)/AF43,1))</f>
      </c>
      <c r="AI43" s="4">
        <f>MAX(0,AC43*IF(AF43&gt;0,(AF43-AG43)/AF43,1))</f>
      </c>
      <c r="AJ43" s="4">
        <f>MAX(0,AD43*IF(AF43&gt;0,(AF43-AG43)/AF43,1))</f>
      </c>
      <c r="AK43" s="4">
        <f>IF(AG43&gt;0,AF43-AG43,AE43)</f>
      </c>
      <c r="AL43" s="4">
        <f>AH43+AI43+AJ43</f>
      </c>
      <c r="AM43" s="5">
        <v>420969.44158255693</v>
      </c>
      <c r="AN43" s="6">
        <f>AL43-AM43</f>
      </c>
    </row>
    <row r="44" spans="1:40" x14ac:dyDescent="0.25">
      <c r="A44">
        <v>2039</v>
      </c>
      <c r="B44">
        <v>68</v>
      </c>
      <c r="C44" s="14">
        <f>IF(B44&lt;$B$24,"A","E")</f>
      </c>
      <c r="D44" s="4">
        <f>AH43</f>
      </c>
      <c r="E44" s="4">
        <f>AI43</f>
      </c>
      <c r="F44" s="4">
        <f>AJ43</f>
      </c>
      <c r="G44" s="4">
        <f>AK43</f>
      </c>
      <c r="H44" s="15">
        <f>$B$8-$B$9</f>
      </c>
      <c r="I44" s="15">
        <f>$B$10-$B$11</f>
      </c>
      <c r="J44" s="15">
        <f>$B$12-$B$13</f>
      </c>
      <c r="K44" s="4">
        <f>D44*H44</f>
      </c>
      <c r="L44" s="4">
        <f>MAX(0,K44)*$B$15</f>
      </c>
      <c r="M44" s="4">
        <f>D44+K44-L44</f>
      </c>
      <c r="N44" s="4">
        <f>E44*(1+I44)</f>
      </c>
      <c r="O44" s="4">
        <f>F44*(1+J44)</f>
      </c>
      <c r="P44" s="4">
        <f>MAX(0,G44+K44-L44)</f>
      </c>
      <c r="Q44" s="16">
        <f>Q43*(1+$B$16)</f>
      </c>
      <c r="R44" s="4">
        <f>IF(C44="A",$B$17*12*IF($B$18=1,Q44,(1+$B$19)^13),0)</f>
      </c>
      <c r="S44" s="4">
        <f>IF(C44="A",0,$B$20*12*IF($B$23=1,Q44,1))</f>
      </c>
      <c r="T44" s="4">
        <f>IF(AND(NOT(C44="A"),B44&gt;=$B$22),$B$21*12*IF($B$23=1,Q44,1),0)</f>
      </c>
      <c r="U44" s="4">
        <f>MAX(0,S44-T44)</f>
      </c>
      <c r="V44" s="4">
        <f>IF(C44="A",M44+$B$5*R44,MAX(0,M44-U44))</f>
      </c>
      <c r="W44" s="15">
        <f>IF(OR(C44="A",M44&gt;=U44,N44+O44&lt;=0),0,MIN(1,(U44-M44)/(N44+O44)))</f>
      </c>
      <c r="X44" s="4">
        <f>IF(C44="A",N44+$B$6*R44,N44*(1-W44))</f>
      </c>
      <c r="Y44" s="4">
        <f>IF(C44="A",O44+$B$7*R44,O44*(1-W44))</f>
      </c>
      <c r="Z44" s="4">
        <f>IF(C44="A",P44+R44,MAX(0,P44-U44))</f>
      </c>
      <c r="AA44" s="4">
        <f>SUMIFS($B$27:$B$27,$A$27:$A$27,"&gt;"&amp;(B44-1),$A$27:$A$27,"&lt;="&amp;B44)</f>
      </c>
      <c r="AB44" s="4">
        <f>IF(AA44&gt;0,V44+$B$5*AA44,IF(AND(AA44&lt;0,(V44+X44+Y44)&gt;0),V44*(1-MIN(1,ABS(AA44)/(V44+X44+Y44))),V44))</f>
      </c>
      <c r="AC44" s="4">
        <f>IF(AA44&gt;0,X44+$B$6*AA44,IF(AND(AA44&lt;0,(V44+X44+Y44)&gt;0),X44*(1-MIN(1,ABS(AA44)/(V44+X44+Y44))),X44))</f>
      </c>
      <c r="AD44" s="4">
        <f>IF(AA44&gt;0,Y44+$B$7*AA44,IF(AND(AA44&lt;0,(V44+X44+Y44)&gt;0),Y44*(1-MIN(1,ABS(AA44)/(V44+X44+Y44))),Y44))</f>
      </c>
      <c r="AE44" s="4">
        <f>IF(AA44&gt;0,Z44+AA44,IF(AA44&lt;0,MAX(0,Z44+AA44),Z44))</f>
      </c>
      <c r="AF44" s="4">
        <f>AB44+AC44+AD44</f>
      </c>
      <c r="AG44" s="4">
        <f>IF(AND(AF44&gt;AE44,AF44&gt;0),(AF44-AE44)*$B$14,0)</f>
      </c>
      <c r="AH44" s="4">
        <f>MAX(0,AB44*IF(AF44&gt;0,(AF44-AG44)/AF44,1))</f>
      </c>
      <c r="AI44" s="4">
        <f>MAX(0,AC44*IF(AF44&gt;0,(AF44-AG44)/AF44,1))</f>
      </c>
      <c r="AJ44" s="4">
        <f>MAX(0,AD44*IF(AF44&gt;0,(AF44-AG44)/AF44,1))</f>
      </c>
      <c r="AK44" s="4">
        <f>IF(AG44&gt;0,AF44-AG44,AE44)</f>
      </c>
      <c r="AL44" s="4">
        <f>AH44+AI44+AJ44</f>
      </c>
      <c r="AM44" s="5">
        <v>414674.2390725757</v>
      </c>
      <c r="AN44" s="6">
        <f>AL44-AM44</f>
      </c>
    </row>
    <row r="45" spans="1:40" x14ac:dyDescent="0.25">
      <c r="A45">
        <v>2040</v>
      </c>
      <c r="B45">
        <v>69</v>
      </c>
      <c r="C45" s="14">
        <f>IF(B45&lt;$B$24,"A","E")</f>
      </c>
      <c r="D45" s="4">
        <f>AH44</f>
      </c>
      <c r="E45" s="4">
        <f>AI44</f>
      </c>
      <c r="F45" s="4">
        <f>AJ44</f>
      </c>
      <c r="G45" s="4">
        <f>AK44</f>
      </c>
      <c r="H45" s="15">
        <f>$B$8-$B$9</f>
      </c>
      <c r="I45" s="15">
        <f>$B$10-$B$11</f>
      </c>
      <c r="J45" s="15">
        <f>$B$12-$B$13</f>
      </c>
      <c r="K45" s="4">
        <f>D45*H45</f>
      </c>
      <c r="L45" s="4">
        <f>MAX(0,K45)*$B$15</f>
      </c>
      <c r="M45" s="4">
        <f>D45+K45-L45</f>
      </c>
      <c r="N45" s="4">
        <f>E45*(1+I45)</f>
      </c>
      <c r="O45" s="4">
        <f>F45*(1+J45)</f>
      </c>
      <c r="P45" s="4">
        <f>MAX(0,G45+K45-L45)</f>
      </c>
      <c r="Q45" s="16">
        <f>Q44*(1+$B$16)</f>
      </c>
      <c r="R45" s="4">
        <f>IF(C45="A",$B$17*12*IF($B$18=1,Q45,(1+$B$19)^14),0)</f>
      </c>
      <c r="S45" s="4">
        <f>IF(C45="A",0,$B$20*12*IF($B$23=1,Q45,1))</f>
      </c>
      <c r="T45" s="4">
        <f>IF(AND(NOT(C45="A"),B45&gt;=$B$22),$B$21*12*IF($B$23=1,Q45,1),0)</f>
      </c>
      <c r="U45" s="4">
        <f>MAX(0,S45-T45)</f>
      </c>
      <c r="V45" s="4">
        <f>IF(C45="A",M45+$B$5*R45,MAX(0,M45-U45))</f>
      </c>
      <c r="W45" s="15">
        <f>IF(OR(C45="A",M45&gt;=U45,N45+O45&lt;=0),0,MIN(1,(U45-M45)/(N45+O45)))</f>
      </c>
      <c r="X45" s="4">
        <f>IF(C45="A",N45+$B$6*R45,N45*(1-W45))</f>
      </c>
      <c r="Y45" s="4">
        <f>IF(C45="A",O45+$B$7*R45,O45*(1-W45))</f>
      </c>
      <c r="Z45" s="4">
        <f>IF(C45="A",P45+R45,MAX(0,P45-U45))</f>
      </c>
      <c r="AA45" s="4">
        <f>SUMIFS($B$27:$B$27,$A$27:$A$27,"&gt;"&amp;(B45-1),$A$27:$A$27,"&lt;="&amp;B45)</f>
      </c>
      <c r="AB45" s="4">
        <f>IF(AA45&gt;0,V45+$B$5*AA45,IF(AND(AA45&lt;0,(V45+X45+Y45)&gt;0),V45*(1-MIN(1,ABS(AA45)/(V45+X45+Y45))),V45))</f>
      </c>
      <c r="AC45" s="4">
        <f>IF(AA45&gt;0,X45+$B$6*AA45,IF(AND(AA45&lt;0,(V45+X45+Y45)&gt;0),X45*(1-MIN(1,ABS(AA45)/(V45+X45+Y45))),X45))</f>
      </c>
      <c r="AD45" s="4">
        <f>IF(AA45&gt;0,Y45+$B$7*AA45,IF(AND(AA45&lt;0,(V45+X45+Y45)&gt;0),Y45*(1-MIN(1,ABS(AA45)/(V45+X45+Y45))),Y45))</f>
      </c>
      <c r="AE45" s="4">
        <f>IF(AA45&gt;0,Z45+AA45,IF(AA45&lt;0,MAX(0,Z45+AA45),Z45))</f>
      </c>
      <c r="AF45" s="4">
        <f>AB45+AC45+AD45</f>
      </c>
      <c r="AG45" s="4">
        <f>IF(AND(AF45&gt;AE45,AF45&gt;0),(AF45-AE45)*$B$14,0)</f>
      </c>
      <c r="AH45" s="4">
        <f>MAX(0,AB45*IF(AF45&gt;0,(AF45-AG45)/AF45,1))</f>
      </c>
      <c r="AI45" s="4">
        <f>MAX(0,AC45*IF(AF45&gt;0,(AF45-AG45)/AF45,1))</f>
      </c>
      <c r="AJ45" s="4">
        <f>MAX(0,AD45*IF(AF45&gt;0,(AF45-AG45)/AF45,1))</f>
      </c>
      <c r="AK45" s="4">
        <f>IF(AG45&gt;0,AF45-AG45,AE45)</f>
      </c>
      <c r="AL45" s="4">
        <f>AH45+AI45+AJ45</f>
      </c>
      <c r="AM45" s="5">
        <v>408572.27555707115</v>
      </c>
      <c r="AN45" s="6">
        <f>AL45-AM45</f>
      </c>
    </row>
    <row r="46" spans="1:40" x14ac:dyDescent="0.25">
      <c r="A46">
        <v>2041</v>
      </c>
      <c r="B46">
        <v>70</v>
      </c>
      <c r="C46" s="14">
        <f>IF(B46&lt;$B$24,"A","E")</f>
      </c>
      <c r="D46" s="4">
        <f>AH45</f>
      </c>
      <c r="E46" s="4">
        <f>AI45</f>
      </c>
      <c r="F46" s="4">
        <f>AJ45</f>
      </c>
      <c r="G46" s="4">
        <f>AK45</f>
      </c>
      <c r="H46" s="15">
        <f>$B$8-$B$9</f>
      </c>
      <c r="I46" s="15">
        <f>$B$10-$B$11</f>
      </c>
      <c r="J46" s="15">
        <f>$B$12-$B$13</f>
      </c>
      <c r="K46" s="4">
        <f>D46*H46</f>
      </c>
      <c r="L46" s="4">
        <f>MAX(0,K46)*$B$15</f>
      </c>
      <c r="M46" s="4">
        <f>D46+K46-L46</f>
      </c>
      <c r="N46" s="4">
        <f>E46*(1+I46)</f>
      </c>
      <c r="O46" s="4">
        <f>F46*(1+J46)</f>
      </c>
      <c r="P46" s="4">
        <f>MAX(0,G46+K46-L46)</f>
      </c>
      <c r="Q46" s="16">
        <f>Q45*(1+$B$16)</f>
      </c>
      <c r="R46" s="4">
        <f>IF(C46="A",$B$17*12*IF($B$18=1,Q46,(1+$B$19)^15),0)</f>
      </c>
      <c r="S46" s="4">
        <f>IF(C46="A",0,$B$20*12*IF($B$23=1,Q46,1))</f>
      </c>
      <c r="T46" s="4">
        <f>IF(AND(NOT(C46="A"),B46&gt;=$B$22),$B$21*12*IF($B$23=1,Q46,1),0)</f>
      </c>
      <c r="U46" s="4">
        <f>MAX(0,S46-T46)</f>
      </c>
      <c r="V46" s="4">
        <f>IF(C46="A",M46+$B$5*R46,MAX(0,M46-U46))</f>
      </c>
      <c r="W46" s="15">
        <f>IF(OR(C46="A",M46&gt;=U46,N46+O46&lt;=0),0,MIN(1,(U46-M46)/(N46+O46)))</f>
      </c>
      <c r="X46" s="4">
        <f>IF(C46="A",N46+$B$6*R46,N46*(1-W46))</f>
      </c>
      <c r="Y46" s="4">
        <f>IF(C46="A",O46+$B$7*R46,O46*(1-W46))</f>
      </c>
      <c r="Z46" s="4">
        <f>IF(C46="A",P46+R46,MAX(0,P46-U46))</f>
      </c>
      <c r="AA46" s="4">
        <f>SUMIFS($B$27:$B$27,$A$27:$A$27,"&gt;"&amp;(B46-1),$A$27:$A$27,"&lt;="&amp;B46)</f>
      </c>
      <c r="AB46" s="4">
        <f>IF(AA46&gt;0,V46+$B$5*AA46,IF(AND(AA46&lt;0,(V46+X46+Y46)&gt;0),V46*(1-MIN(1,ABS(AA46)/(V46+X46+Y46))),V46))</f>
      </c>
      <c r="AC46" s="4">
        <f>IF(AA46&gt;0,X46+$B$6*AA46,IF(AND(AA46&lt;0,(V46+X46+Y46)&gt;0),X46*(1-MIN(1,ABS(AA46)/(V46+X46+Y46))),X46))</f>
      </c>
      <c r="AD46" s="4">
        <f>IF(AA46&gt;0,Y46+$B$7*AA46,IF(AND(AA46&lt;0,(V46+X46+Y46)&gt;0),Y46*(1-MIN(1,ABS(AA46)/(V46+X46+Y46))),Y46))</f>
      </c>
      <c r="AE46" s="4">
        <f>IF(AA46&gt;0,Z46+AA46,IF(AA46&lt;0,MAX(0,Z46+AA46),Z46))</f>
      </c>
      <c r="AF46" s="4">
        <f>AB46+AC46+AD46</f>
      </c>
      <c r="AG46" s="4">
        <f>IF(AND(AF46&gt;AE46,AF46&gt;0),(AF46-AE46)*$B$14,0)</f>
      </c>
      <c r="AH46" s="4">
        <f>MAX(0,AB46*IF(AF46&gt;0,(AF46-AG46)/AF46,1))</f>
      </c>
      <c r="AI46" s="4">
        <f>MAX(0,AC46*IF(AF46&gt;0,(AF46-AG46)/AF46,1))</f>
      </c>
      <c r="AJ46" s="4">
        <f>MAX(0,AD46*IF(AF46&gt;0,(AF46-AG46)/AF46,1))</f>
      </c>
      <c r="AK46" s="4">
        <f>IF(AG46&gt;0,AF46-AG46,AE46)</f>
      </c>
      <c r="AL46" s="4">
        <f>AH46+AI46+AJ46</f>
      </c>
      <c r="AM46" s="5">
        <v>402672.7745604222</v>
      </c>
      <c r="AN46" s="6">
        <f>AL46-AM46</f>
      </c>
    </row>
    <row r="47" spans="1:40" x14ac:dyDescent="0.25">
      <c r="A47">
        <v>2042</v>
      </c>
      <c r="B47">
        <v>71</v>
      </c>
      <c r="C47" s="14">
        <f>IF(B47&lt;$B$24,"A","E")</f>
      </c>
      <c r="D47" s="4">
        <f>AH46</f>
      </c>
      <c r="E47" s="4">
        <f>AI46</f>
      </c>
      <c r="F47" s="4">
        <f>AJ46</f>
      </c>
      <c r="G47" s="4">
        <f>AK46</f>
      </c>
      <c r="H47" s="15">
        <f>$B$8-$B$9</f>
      </c>
      <c r="I47" s="15">
        <f>$B$10-$B$11</f>
      </c>
      <c r="J47" s="15">
        <f>$B$12-$B$13</f>
      </c>
      <c r="K47" s="4">
        <f>D47*H47</f>
      </c>
      <c r="L47" s="4">
        <f>MAX(0,K47)*$B$15</f>
      </c>
      <c r="M47" s="4">
        <f>D47+K47-L47</f>
      </c>
      <c r="N47" s="4">
        <f>E47*(1+I47)</f>
      </c>
      <c r="O47" s="4">
        <f>F47*(1+J47)</f>
      </c>
      <c r="P47" s="4">
        <f>MAX(0,G47+K47-L47)</f>
      </c>
      <c r="Q47" s="16">
        <f>Q46*(1+$B$16)</f>
      </c>
      <c r="R47" s="4">
        <f>IF(C47="A",$B$17*12*IF($B$18=1,Q47,(1+$B$19)^16),0)</f>
      </c>
      <c r="S47" s="4">
        <f>IF(C47="A",0,$B$20*12*IF($B$23=1,Q47,1))</f>
      </c>
      <c r="T47" s="4">
        <f>IF(AND(NOT(C47="A"),B47&gt;=$B$22),$B$21*12*IF($B$23=1,Q47,1),0)</f>
      </c>
      <c r="U47" s="4">
        <f>MAX(0,S47-T47)</f>
      </c>
      <c r="V47" s="4">
        <f>IF(C47="A",M47+$B$5*R47,MAX(0,M47-U47))</f>
      </c>
      <c r="W47" s="15">
        <f>IF(OR(C47="A",M47&gt;=U47,N47+O47&lt;=0),0,MIN(1,(U47-M47)/(N47+O47)))</f>
      </c>
      <c r="X47" s="4">
        <f>IF(C47="A",N47+$B$6*R47,N47*(1-W47))</f>
      </c>
      <c r="Y47" s="4">
        <f>IF(C47="A",O47+$B$7*R47,O47*(1-W47))</f>
      </c>
      <c r="Z47" s="4">
        <f>IF(C47="A",P47+R47,MAX(0,P47-U47))</f>
      </c>
      <c r="AA47" s="4">
        <f>SUMIFS($B$27:$B$27,$A$27:$A$27,"&gt;"&amp;(B47-1),$A$27:$A$27,"&lt;="&amp;B47)</f>
      </c>
      <c r="AB47" s="4">
        <f>IF(AA47&gt;0,V47+$B$5*AA47,IF(AND(AA47&lt;0,(V47+X47+Y47)&gt;0),V47*(1-MIN(1,ABS(AA47)/(V47+X47+Y47))),V47))</f>
      </c>
      <c r="AC47" s="4">
        <f>IF(AA47&gt;0,X47+$B$6*AA47,IF(AND(AA47&lt;0,(V47+X47+Y47)&gt;0),X47*(1-MIN(1,ABS(AA47)/(V47+X47+Y47))),X47))</f>
      </c>
      <c r="AD47" s="4">
        <f>IF(AA47&gt;0,Y47+$B$7*AA47,IF(AND(AA47&lt;0,(V47+X47+Y47)&gt;0),Y47*(1-MIN(1,ABS(AA47)/(V47+X47+Y47))),Y47))</f>
      </c>
      <c r="AE47" s="4">
        <f>IF(AA47&gt;0,Z47+AA47,IF(AA47&lt;0,MAX(0,Z47+AA47),Z47))</f>
      </c>
      <c r="AF47" s="4">
        <f>AB47+AC47+AD47</f>
      </c>
      <c r="AG47" s="4">
        <f>IF(AND(AF47&gt;AE47,AF47&gt;0),(AF47-AE47)*$B$14,0)</f>
      </c>
      <c r="AH47" s="4">
        <f>MAX(0,AB47*IF(AF47&gt;0,(AF47-AG47)/AF47,1))</f>
      </c>
      <c r="AI47" s="4">
        <f>MAX(0,AC47*IF(AF47&gt;0,(AF47-AG47)/AF47,1))</f>
      </c>
      <c r="AJ47" s="4">
        <f>MAX(0,AD47*IF(AF47&gt;0,(AF47-AG47)/AF47,1))</f>
      </c>
      <c r="AK47" s="4">
        <f>IF(AG47&gt;0,AF47-AG47,AE47)</f>
      </c>
      <c r="AL47" s="4">
        <f>AH47+AI47+AJ47</f>
      </c>
      <c r="AM47" s="5">
        <v>396984.9541107418</v>
      </c>
      <c r="AN47" s="6">
        <f>AL47-AM47</f>
      </c>
    </row>
    <row r="48" spans="1:40" x14ac:dyDescent="0.25">
      <c r="A48">
        <v>2043</v>
      </c>
      <c r="B48">
        <v>72</v>
      </c>
      <c r="C48" s="14">
        <f>IF(B48&lt;$B$24,"A","E")</f>
      </c>
      <c r="D48" s="4">
        <f>AH47</f>
      </c>
      <c r="E48" s="4">
        <f>AI47</f>
      </c>
      <c r="F48" s="4">
        <f>AJ47</f>
      </c>
      <c r="G48" s="4">
        <f>AK47</f>
      </c>
      <c r="H48" s="15">
        <f>$B$8-$B$9</f>
      </c>
      <c r="I48" s="15">
        <f>$B$10-$B$11</f>
      </c>
      <c r="J48" s="15">
        <f>$B$12-$B$13</f>
      </c>
      <c r="K48" s="4">
        <f>D48*H48</f>
      </c>
      <c r="L48" s="4">
        <f>MAX(0,K48)*$B$15</f>
      </c>
      <c r="M48" s="4">
        <f>D48+K48-L48</f>
      </c>
      <c r="N48" s="4">
        <f>E48*(1+I48)</f>
      </c>
      <c r="O48" s="4">
        <f>F48*(1+J48)</f>
      </c>
      <c r="P48" s="4">
        <f>MAX(0,G48+K48-L48)</f>
      </c>
      <c r="Q48" s="16">
        <f>Q47*(1+$B$16)</f>
      </c>
      <c r="R48" s="4">
        <f>IF(C48="A",$B$17*12*IF($B$18=1,Q48,(1+$B$19)^17),0)</f>
      </c>
      <c r="S48" s="4">
        <f>IF(C48="A",0,$B$20*12*IF($B$23=1,Q48,1))</f>
      </c>
      <c r="T48" s="4">
        <f>IF(AND(NOT(C48="A"),B48&gt;=$B$22),$B$21*12*IF($B$23=1,Q48,1),0)</f>
      </c>
      <c r="U48" s="4">
        <f>MAX(0,S48-T48)</f>
      </c>
      <c r="V48" s="4">
        <f>IF(C48="A",M48+$B$5*R48,MAX(0,M48-U48))</f>
      </c>
      <c r="W48" s="15">
        <f>IF(OR(C48="A",M48&gt;=U48,N48+O48&lt;=0),0,MIN(1,(U48-M48)/(N48+O48)))</f>
      </c>
      <c r="X48" s="4">
        <f>IF(C48="A",N48+$B$6*R48,N48*(1-W48))</f>
      </c>
      <c r="Y48" s="4">
        <f>IF(C48="A",O48+$B$7*R48,O48*(1-W48))</f>
      </c>
      <c r="Z48" s="4">
        <f>IF(C48="A",P48+R48,MAX(0,P48-U48))</f>
      </c>
      <c r="AA48" s="4">
        <f>SUMIFS($B$27:$B$27,$A$27:$A$27,"&gt;"&amp;(B48-1),$A$27:$A$27,"&lt;="&amp;B48)</f>
      </c>
      <c r="AB48" s="4">
        <f>IF(AA48&gt;0,V48+$B$5*AA48,IF(AND(AA48&lt;0,(V48+X48+Y48)&gt;0),V48*(1-MIN(1,ABS(AA48)/(V48+X48+Y48))),V48))</f>
      </c>
      <c r="AC48" s="4">
        <f>IF(AA48&gt;0,X48+$B$6*AA48,IF(AND(AA48&lt;0,(V48+X48+Y48)&gt;0),X48*(1-MIN(1,ABS(AA48)/(V48+X48+Y48))),X48))</f>
      </c>
      <c r="AD48" s="4">
        <f>IF(AA48&gt;0,Y48+$B$7*AA48,IF(AND(AA48&lt;0,(V48+X48+Y48)&gt;0),Y48*(1-MIN(1,ABS(AA48)/(V48+X48+Y48))),Y48))</f>
      </c>
      <c r="AE48" s="4">
        <f>IF(AA48&gt;0,Z48+AA48,IF(AA48&lt;0,MAX(0,Z48+AA48),Z48))</f>
      </c>
      <c r="AF48" s="4">
        <f>AB48+AC48+AD48</f>
      </c>
      <c r="AG48" s="4">
        <f>IF(AND(AF48&gt;AE48,AF48&gt;0),(AF48-AE48)*$B$14,0)</f>
      </c>
      <c r="AH48" s="4">
        <f>MAX(0,AB48*IF(AF48&gt;0,(AF48-AG48)/AF48,1))</f>
      </c>
      <c r="AI48" s="4">
        <f>MAX(0,AC48*IF(AF48&gt;0,(AF48-AG48)/AF48,1))</f>
      </c>
      <c r="AJ48" s="4">
        <f>MAX(0,AD48*IF(AF48&gt;0,(AF48-AG48)/AF48,1))</f>
      </c>
      <c r="AK48" s="4">
        <f>IF(AG48&gt;0,AF48-AG48,AE48)</f>
      </c>
      <c r="AL48" s="4">
        <f>AH48+AI48+AJ48</f>
      </c>
      <c r="AM48" s="5">
        <v>391260.51067077345</v>
      </c>
      <c r="AN48" s="6">
        <f>AL48-AM48</f>
      </c>
    </row>
    <row r="49" spans="1:40" x14ac:dyDescent="0.25">
      <c r="A49">
        <v>2044</v>
      </c>
      <c r="B49">
        <v>73</v>
      </c>
      <c r="C49" s="14">
        <f>IF(B49&lt;$B$24,"A","E")</f>
      </c>
      <c r="D49" s="4">
        <f>AH48</f>
      </c>
      <c r="E49" s="4">
        <f>AI48</f>
      </c>
      <c r="F49" s="4">
        <f>AJ48</f>
      </c>
      <c r="G49" s="4">
        <f>AK48</f>
      </c>
      <c r="H49" s="15">
        <f>$B$8-$B$9</f>
      </c>
      <c r="I49" s="15">
        <f>$B$10-$B$11</f>
      </c>
      <c r="J49" s="15">
        <f>$B$12-$B$13</f>
      </c>
      <c r="K49" s="4">
        <f>D49*H49</f>
      </c>
      <c r="L49" s="4">
        <f>MAX(0,K49)*$B$15</f>
      </c>
      <c r="M49" s="4">
        <f>D49+K49-L49</f>
      </c>
      <c r="N49" s="4">
        <f>E49*(1+I49)</f>
      </c>
      <c r="O49" s="4">
        <f>F49*(1+J49)</f>
      </c>
      <c r="P49" s="4">
        <f>MAX(0,G49+K49-L49)</f>
      </c>
      <c r="Q49" s="16">
        <f>Q48*(1+$B$16)</f>
      </c>
      <c r="R49" s="4">
        <f>IF(C49="A",$B$17*12*IF($B$18=1,Q49,(1+$B$19)^18),0)</f>
      </c>
      <c r="S49" s="4">
        <f>IF(C49="A",0,$B$20*12*IF($B$23=1,Q49,1))</f>
      </c>
      <c r="T49" s="4">
        <f>IF(AND(NOT(C49="A"),B49&gt;=$B$22),$B$21*12*IF($B$23=1,Q49,1),0)</f>
      </c>
      <c r="U49" s="4">
        <f>MAX(0,S49-T49)</f>
      </c>
      <c r="V49" s="4">
        <f>IF(C49="A",M49+$B$5*R49,MAX(0,M49-U49))</f>
      </c>
      <c r="W49" s="15">
        <f>IF(OR(C49="A",M49&gt;=U49,N49+O49&lt;=0),0,MIN(1,(U49-M49)/(N49+O49)))</f>
      </c>
      <c r="X49" s="4">
        <f>IF(C49="A",N49+$B$6*R49,N49*(1-W49))</f>
      </c>
      <c r="Y49" s="4">
        <f>IF(C49="A",O49+$B$7*R49,O49*(1-W49))</f>
      </c>
      <c r="Z49" s="4">
        <f>IF(C49="A",P49+R49,MAX(0,P49-U49))</f>
      </c>
      <c r="AA49" s="4">
        <f>SUMIFS($B$27:$B$27,$A$27:$A$27,"&gt;"&amp;(B49-1),$A$27:$A$27,"&lt;="&amp;B49)</f>
      </c>
      <c r="AB49" s="4">
        <f>IF(AA49&gt;0,V49+$B$5*AA49,IF(AND(AA49&lt;0,(V49+X49+Y49)&gt;0),V49*(1-MIN(1,ABS(AA49)/(V49+X49+Y49))),V49))</f>
      </c>
      <c r="AC49" s="4">
        <f>IF(AA49&gt;0,X49+$B$6*AA49,IF(AND(AA49&lt;0,(V49+X49+Y49)&gt;0),X49*(1-MIN(1,ABS(AA49)/(V49+X49+Y49))),X49))</f>
      </c>
      <c r="AD49" s="4">
        <f>IF(AA49&gt;0,Y49+$B$7*AA49,IF(AND(AA49&lt;0,(V49+X49+Y49)&gt;0),Y49*(1-MIN(1,ABS(AA49)/(V49+X49+Y49))),Y49))</f>
      </c>
      <c r="AE49" s="4">
        <f>IF(AA49&gt;0,Z49+AA49,IF(AA49&lt;0,MAX(0,Z49+AA49),Z49))</f>
      </c>
      <c r="AF49" s="4">
        <f>AB49+AC49+AD49</f>
      </c>
      <c r="AG49" s="4">
        <f>IF(AND(AF49&gt;AE49,AF49&gt;0),(AF49-AE49)*$B$14,0)</f>
      </c>
      <c r="AH49" s="4">
        <f>MAX(0,AB49*IF(AF49&gt;0,(AF49-AG49)/AF49,1))</f>
      </c>
      <c r="AI49" s="4">
        <f>MAX(0,AC49*IF(AF49&gt;0,(AF49-AG49)/AF49,1))</f>
      </c>
      <c r="AJ49" s="4">
        <f>MAX(0,AD49*IF(AF49&gt;0,(AF49-AG49)/AF49,1))</f>
      </c>
      <c r="AK49" s="4">
        <f>IF(AG49&gt;0,AF49-AG49,AE49)</f>
      </c>
      <c r="AL49" s="4">
        <f>AH49+AI49+AJ49</f>
      </c>
      <c r="AM49" s="5">
        <v>385404.9190490516</v>
      </c>
      <c r="AN49" s="6">
        <f>AL49-AM49</f>
      </c>
    </row>
    <row r="50" spans="1:40" x14ac:dyDescent="0.25">
      <c r="A50">
        <v>2045</v>
      </c>
      <c r="B50">
        <v>74</v>
      </c>
      <c r="C50" s="14">
        <f>IF(B50&lt;$B$24,"A","E")</f>
      </c>
      <c r="D50" s="4">
        <f>AH49</f>
      </c>
      <c r="E50" s="4">
        <f>AI49</f>
      </c>
      <c r="F50" s="4">
        <f>AJ49</f>
      </c>
      <c r="G50" s="4">
        <f>AK49</f>
      </c>
      <c r="H50" s="15">
        <f>$B$8-$B$9</f>
      </c>
      <c r="I50" s="15">
        <f>$B$10-$B$11</f>
      </c>
      <c r="J50" s="15">
        <f>$B$12-$B$13</f>
      </c>
      <c r="K50" s="4">
        <f>D50*H50</f>
      </c>
      <c r="L50" s="4">
        <f>MAX(0,K50)*$B$15</f>
      </c>
      <c r="M50" s="4">
        <f>D50+K50-L50</f>
      </c>
      <c r="N50" s="4">
        <f>E50*(1+I50)</f>
      </c>
      <c r="O50" s="4">
        <f>F50*(1+J50)</f>
      </c>
      <c r="P50" s="4">
        <f>MAX(0,G50+K50-L50)</f>
      </c>
      <c r="Q50" s="16">
        <f>Q49*(1+$B$16)</f>
      </c>
      <c r="R50" s="4">
        <f>IF(C50="A",$B$17*12*IF($B$18=1,Q50,(1+$B$19)^19),0)</f>
      </c>
      <c r="S50" s="4">
        <f>IF(C50="A",0,$B$20*12*IF($B$23=1,Q50,1))</f>
      </c>
      <c r="T50" s="4">
        <f>IF(AND(NOT(C50="A"),B50&gt;=$B$22),$B$21*12*IF($B$23=1,Q50,1),0)</f>
      </c>
      <c r="U50" s="4">
        <f>MAX(0,S50-T50)</f>
      </c>
      <c r="V50" s="4">
        <f>IF(C50="A",M50+$B$5*R50,MAX(0,M50-U50))</f>
      </c>
      <c r="W50" s="15">
        <f>IF(OR(C50="A",M50&gt;=U50,N50+O50&lt;=0),0,MIN(1,(U50-M50)/(N50+O50)))</f>
      </c>
      <c r="X50" s="4">
        <f>IF(C50="A",N50+$B$6*R50,N50*(1-W50))</f>
      </c>
      <c r="Y50" s="4">
        <f>IF(C50="A",O50+$B$7*R50,O50*(1-W50))</f>
      </c>
      <c r="Z50" s="4">
        <f>IF(C50="A",P50+R50,MAX(0,P50-U50))</f>
      </c>
      <c r="AA50" s="4">
        <f>SUMIFS($B$27:$B$27,$A$27:$A$27,"&gt;"&amp;(B50-1),$A$27:$A$27,"&lt;="&amp;B50)</f>
      </c>
      <c r="AB50" s="4">
        <f>IF(AA50&gt;0,V50+$B$5*AA50,IF(AND(AA50&lt;0,(V50+X50+Y50)&gt;0),V50*(1-MIN(1,ABS(AA50)/(V50+X50+Y50))),V50))</f>
      </c>
      <c r="AC50" s="4">
        <f>IF(AA50&gt;0,X50+$B$6*AA50,IF(AND(AA50&lt;0,(V50+X50+Y50)&gt;0),X50*(1-MIN(1,ABS(AA50)/(V50+X50+Y50))),X50))</f>
      </c>
      <c r="AD50" s="4">
        <f>IF(AA50&gt;0,Y50+$B$7*AA50,IF(AND(AA50&lt;0,(V50+X50+Y50)&gt;0),Y50*(1-MIN(1,ABS(AA50)/(V50+X50+Y50))),Y50))</f>
      </c>
      <c r="AE50" s="4">
        <f>IF(AA50&gt;0,Z50+AA50,IF(AA50&lt;0,MAX(0,Z50+AA50),Z50))</f>
      </c>
      <c r="AF50" s="4">
        <f>AB50+AC50+AD50</f>
      </c>
      <c r="AG50" s="4">
        <f>IF(AND(AF50&gt;AE50,AF50&gt;0),(AF50-AE50)*$B$14,0)</f>
      </c>
      <c r="AH50" s="4">
        <f>MAX(0,AB50*IF(AF50&gt;0,(AF50-AG50)/AF50,1))</f>
      </c>
      <c r="AI50" s="4">
        <f>MAX(0,AC50*IF(AF50&gt;0,(AF50-AG50)/AF50,1))</f>
      </c>
      <c r="AJ50" s="4">
        <f>MAX(0,AD50*IF(AF50&gt;0,(AF50-AG50)/AF50,1))</f>
      </c>
      <c r="AK50" s="4">
        <f>IF(AG50&gt;0,AF50-AG50,AE50)</f>
      </c>
      <c r="AL50" s="4">
        <f>AH50+AI50+AJ50</f>
      </c>
      <c r="AM50" s="5">
        <v>379412.680707981</v>
      </c>
      <c r="AN50" s="6">
        <f>AL50-AM50</f>
      </c>
    </row>
    <row r="51" spans="1:40" x14ac:dyDescent="0.25">
      <c r="A51">
        <v>2046</v>
      </c>
      <c r="B51">
        <v>75</v>
      </c>
      <c r="C51" s="14">
        <f>IF(B51&lt;$B$24,"A","E")</f>
      </c>
      <c r="D51" s="4">
        <f>AH50</f>
      </c>
      <c r="E51" s="4">
        <f>AI50</f>
      </c>
      <c r="F51" s="4">
        <f>AJ50</f>
      </c>
      <c r="G51" s="4">
        <f>AK50</f>
      </c>
      <c r="H51" s="15">
        <f>$B$8-$B$9</f>
      </c>
      <c r="I51" s="15">
        <f>$B$10-$B$11</f>
      </c>
      <c r="J51" s="15">
        <f>$B$12-$B$13</f>
      </c>
      <c r="K51" s="4">
        <f>D51*H51</f>
      </c>
      <c r="L51" s="4">
        <f>MAX(0,K51)*$B$15</f>
      </c>
      <c r="M51" s="4">
        <f>D51+K51-L51</f>
      </c>
      <c r="N51" s="4">
        <f>E51*(1+I51)</f>
      </c>
      <c r="O51" s="4">
        <f>F51*(1+J51)</f>
      </c>
      <c r="P51" s="4">
        <f>MAX(0,G51+K51-L51)</f>
      </c>
      <c r="Q51" s="16">
        <f>Q50*(1+$B$16)</f>
      </c>
      <c r="R51" s="4">
        <f>IF(C51="A",$B$17*12*IF($B$18=1,Q51,(1+$B$19)^20),0)</f>
      </c>
      <c r="S51" s="4">
        <f>IF(C51="A",0,$B$20*12*IF($B$23=1,Q51,1))</f>
      </c>
      <c r="T51" s="4">
        <f>IF(AND(NOT(C51="A"),B51&gt;=$B$22),$B$21*12*IF($B$23=1,Q51,1),0)</f>
      </c>
      <c r="U51" s="4">
        <f>MAX(0,S51-T51)</f>
      </c>
      <c r="V51" s="4">
        <f>IF(C51="A",M51+$B$5*R51,MAX(0,M51-U51))</f>
      </c>
      <c r="W51" s="15">
        <f>IF(OR(C51="A",M51&gt;=U51,N51+O51&lt;=0),0,MIN(1,(U51-M51)/(N51+O51)))</f>
      </c>
      <c r="X51" s="4">
        <f>IF(C51="A",N51+$B$6*R51,N51*(1-W51))</f>
      </c>
      <c r="Y51" s="4">
        <f>IF(C51="A",O51+$B$7*R51,O51*(1-W51))</f>
      </c>
      <c r="Z51" s="4">
        <f>IF(C51="A",P51+R51,MAX(0,P51-U51))</f>
      </c>
      <c r="AA51" s="4">
        <f>SUMIFS($B$27:$B$27,$A$27:$A$27,"&gt;"&amp;(B51-1),$A$27:$A$27,"&lt;="&amp;B51)</f>
      </c>
      <c r="AB51" s="4">
        <f>IF(AA51&gt;0,V51+$B$5*AA51,IF(AND(AA51&lt;0,(V51+X51+Y51)&gt;0),V51*(1-MIN(1,ABS(AA51)/(V51+X51+Y51))),V51))</f>
      </c>
      <c r="AC51" s="4">
        <f>IF(AA51&gt;0,X51+$B$6*AA51,IF(AND(AA51&lt;0,(V51+X51+Y51)&gt;0),X51*(1-MIN(1,ABS(AA51)/(V51+X51+Y51))),X51))</f>
      </c>
      <c r="AD51" s="4">
        <f>IF(AA51&gt;0,Y51+$B$7*AA51,IF(AND(AA51&lt;0,(V51+X51+Y51)&gt;0),Y51*(1-MIN(1,ABS(AA51)/(V51+X51+Y51))),Y51))</f>
      </c>
      <c r="AE51" s="4">
        <f>IF(AA51&gt;0,Z51+AA51,IF(AA51&lt;0,MAX(0,Z51+AA51),Z51))</f>
      </c>
      <c r="AF51" s="4">
        <f>AB51+AC51+AD51</f>
      </c>
      <c r="AG51" s="4">
        <f>IF(AND(AF51&gt;AE51,AF51&gt;0),(AF51-AE51)*$B$14,0)</f>
      </c>
      <c r="AH51" s="4">
        <f>MAX(0,AB51*IF(AF51&gt;0,(AF51-AG51)/AF51,1))</f>
      </c>
      <c r="AI51" s="4">
        <f>MAX(0,AC51*IF(AF51&gt;0,(AF51-AG51)/AF51,1))</f>
      </c>
      <c r="AJ51" s="4">
        <f>MAX(0,AD51*IF(AF51&gt;0,(AF51-AG51)/AF51,1))</f>
      </c>
      <c r="AK51" s="4">
        <f>IF(AG51&gt;0,AF51-AG51,AE51)</f>
      </c>
      <c r="AL51" s="4">
        <f>AH51+AI51+AJ51</f>
      </c>
      <c r="AM51" s="5">
        <v>373278.0686892691</v>
      </c>
      <c r="AN51" s="6">
        <f>AL51-AM51</f>
      </c>
    </row>
    <row r="52" spans="1:40" x14ac:dyDescent="0.25">
      <c r="A52">
        <v>2047</v>
      </c>
      <c r="B52">
        <v>76</v>
      </c>
      <c r="C52" s="14">
        <f>IF(B52&lt;$B$24,"A","E")</f>
      </c>
      <c r="D52" s="4">
        <f>AH51</f>
      </c>
      <c r="E52" s="4">
        <f>AI51</f>
      </c>
      <c r="F52" s="4">
        <f>AJ51</f>
      </c>
      <c r="G52" s="4">
        <f>AK51</f>
      </c>
      <c r="H52" s="15">
        <f>$B$8-$B$9</f>
      </c>
      <c r="I52" s="15">
        <f>$B$10-$B$11</f>
      </c>
      <c r="J52" s="15">
        <f>$B$12-$B$13</f>
      </c>
      <c r="K52" s="4">
        <f>D52*H52</f>
      </c>
      <c r="L52" s="4">
        <f>MAX(0,K52)*$B$15</f>
      </c>
      <c r="M52" s="4">
        <f>D52+K52-L52</f>
      </c>
      <c r="N52" s="4">
        <f>E52*(1+I52)</f>
      </c>
      <c r="O52" s="4">
        <f>F52*(1+J52)</f>
      </c>
      <c r="P52" s="4">
        <f>MAX(0,G52+K52-L52)</f>
      </c>
      <c r="Q52" s="16">
        <f>Q51*(1+$B$16)</f>
      </c>
      <c r="R52" s="4">
        <f>IF(C52="A",$B$17*12*IF($B$18=1,Q52,(1+$B$19)^21),0)</f>
      </c>
      <c r="S52" s="4">
        <f>IF(C52="A",0,$B$20*12*IF($B$23=1,Q52,1))</f>
      </c>
      <c r="T52" s="4">
        <f>IF(AND(NOT(C52="A"),B52&gt;=$B$22),$B$21*12*IF($B$23=1,Q52,1),0)</f>
      </c>
      <c r="U52" s="4">
        <f>MAX(0,S52-T52)</f>
      </c>
      <c r="V52" s="4">
        <f>IF(C52="A",M52+$B$5*R52,MAX(0,M52-U52))</f>
      </c>
      <c r="W52" s="15">
        <f>IF(OR(C52="A",M52&gt;=U52,N52+O52&lt;=0),0,MIN(1,(U52-M52)/(N52+O52)))</f>
      </c>
      <c r="X52" s="4">
        <f>IF(C52="A",N52+$B$6*R52,N52*(1-W52))</f>
      </c>
      <c r="Y52" s="4">
        <f>IF(C52="A",O52+$B$7*R52,O52*(1-W52))</f>
      </c>
      <c r="Z52" s="4">
        <f>IF(C52="A",P52+R52,MAX(0,P52-U52))</f>
      </c>
      <c r="AA52" s="4">
        <f>SUMIFS($B$27:$B$27,$A$27:$A$27,"&gt;"&amp;(B52-1),$A$27:$A$27,"&lt;="&amp;B52)</f>
      </c>
      <c r="AB52" s="4">
        <f>IF(AA52&gt;0,V52+$B$5*AA52,IF(AND(AA52&lt;0,(V52+X52+Y52)&gt;0),V52*(1-MIN(1,ABS(AA52)/(V52+X52+Y52))),V52))</f>
      </c>
      <c r="AC52" s="4">
        <f>IF(AA52&gt;0,X52+$B$6*AA52,IF(AND(AA52&lt;0,(V52+X52+Y52)&gt;0),X52*(1-MIN(1,ABS(AA52)/(V52+X52+Y52))),X52))</f>
      </c>
      <c r="AD52" s="4">
        <f>IF(AA52&gt;0,Y52+$B$7*AA52,IF(AND(AA52&lt;0,(V52+X52+Y52)&gt;0),Y52*(1-MIN(1,ABS(AA52)/(V52+X52+Y52))),Y52))</f>
      </c>
      <c r="AE52" s="4">
        <f>IF(AA52&gt;0,Z52+AA52,IF(AA52&lt;0,MAX(0,Z52+AA52),Z52))</f>
      </c>
      <c r="AF52" s="4">
        <f>AB52+AC52+AD52</f>
      </c>
      <c r="AG52" s="4">
        <f>IF(AND(AF52&gt;AE52,AF52&gt;0),(AF52-AE52)*$B$14,0)</f>
      </c>
      <c r="AH52" s="4">
        <f>MAX(0,AB52*IF(AF52&gt;0,(AF52-AG52)/AF52,1))</f>
      </c>
      <c r="AI52" s="4">
        <f>MAX(0,AC52*IF(AF52&gt;0,(AF52-AG52)/AF52,1))</f>
      </c>
      <c r="AJ52" s="4">
        <f>MAX(0,AD52*IF(AF52&gt;0,(AF52-AG52)/AF52,1))</f>
      </c>
      <c r="AK52" s="4">
        <f>IF(AG52&gt;0,AF52-AG52,AE52)</f>
      </c>
      <c r="AL52" s="4">
        <f>AH52+AI52+AJ52</f>
      </c>
      <c r="AM52" s="5">
        <v>366995.11900361395</v>
      </c>
      <c r="AN52" s="6">
        <f>AL52-AM52</f>
      </c>
    </row>
    <row r="53" spans="1:40" x14ac:dyDescent="0.25">
      <c r="A53">
        <v>2048</v>
      </c>
      <c r="B53">
        <v>77</v>
      </c>
      <c r="C53" s="14">
        <f>IF(B53&lt;$B$24,"A","E")</f>
      </c>
      <c r="D53" s="4">
        <f>AH52</f>
      </c>
      <c r="E53" s="4">
        <f>AI52</f>
      </c>
      <c r="F53" s="4">
        <f>AJ52</f>
      </c>
      <c r="G53" s="4">
        <f>AK52</f>
      </c>
      <c r="H53" s="15">
        <f>$B$8-$B$9</f>
      </c>
      <c r="I53" s="15">
        <f>$B$10-$B$11</f>
      </c>
      <c r="J53" s="15">
        <f>$B$12-$B$13</f>
      </c>
      <c r="K53" s="4">
        <f>D53*H53</f>
      </c>
      <c r="L53" s="4">
        <f>MAX(0,K53)*$B$15</f>
      </c>
      <c r="M53" s="4">
        <f>D53+K53-L53</f>
      </c>
      <c r="N53" s="4">
        <f>E53*(1+I53)</f>
      </c>
      <c r="O53" s="4">
        <f>F53*(1+J53)</f>
      </c>
      <c r="P53" s="4">
        <f>MAX(0,G53+K53-L53)</f>
      </c>
      <c r="Q53" s="16">
        <f>Q52*(1+$B$16)</f>
      </c>
      <c r="R53" s="4">
        <f>IF(C53="A",$B$17*12*IF($B$18=1,Q53,(1+$B$19)^22),0)</f>
      </c>
      <c r="S53" s="4">
        <f>IF(C53="A",0,$B$20*12*IF($B$23=1,Q53,1))</f>
      </c>
      <c r="T53" s="4">
        <f>IF(AND(NOT(C53="A"),B53&gt;=$B$22),$B$21*12*IF($B$23=1,Q53,1),0)</f>
      </c>
      <c r="U53" s="4">
        <f>MAX(0,S53-T53)</f>
      </c>
      <c r="V53" s="4">
        <f>IF(C53="A",M53+$B$5*R53,MAX(0,M53-U53))</f>
      </c>
      <c r="W53" s="15">
        <f>IF(OR(C53="A",M53&gt;=U53,N53+O53&lt;=0),0,MIN(1,(U53-M53)/(N53+O53)))</f>
      </c>
      <c r="X53" s="4">
        <f>IF(C53="A",N53+$B$6*R53,N53*(1-W53))</f>
      </c>
      <c r="Y53" s="4">
        <f>IF(C53="A",O53+$B$7*R53,O53*(1-W53))</f>
      </c>
      <c r="Z53" s="4">
        <f>IF(C53="A",P53+R53,MAX(0,P53-U53))</f>
      </c>
      <c r="AA53" s="4">
        <f>SUMIFS($B$27:$B$27,$A$27:$A$27,"&gt;"&amp;(B53-1),$A$27:$A$27,"&lt;="&amp;B53)</f>
      </c>
      <c r="AB53" s="4">
        <f>IF(AA53&gt;0,V53+$B$5*AA53,IF(AND(AA53&lt;0,(V53+X53+Y53)&gt;0),V53*(1-MIN(1,ABS(AA53)/(V53+X53+Y53))),V53))</f>
      </c>
      <c r="AC53" s="4">
        <f>IF(AA53&gt;0,X53+$B$6*AA53,IF(AND(AA53&lt;0,(V53+X53+Y53)&gt;0),X53*(1-MIN(1,ABS(AA53)/(V53+X53+Y53))),X53))</f>
      </c>
      <c r="AD53" s="4">
        <f>IF(AA53&gt;0,Y53+$B$7*AA53,IF(AND(AA53&lt;0,(V53+X53+Y53)&gt;0),Y53*(1-MIN(1,ABS(AA53)/(V53+X53+Y53))),Y53))</f>
      </c>
      <c r="AE53" s="4">
        <f>IF(AA53&gt;0,Z53+AA53,IF(AA53&lt;0,MAX(0,Z53+AA53),Z53))</f>
      </c>
      <c r="AF53" s="4">
        <f>AB53+AC53+AD53</f>
      </c>
      <c r="AG53" s="4">
        <f>IF(AND(AF53&gt;AE53,AF53&gt;0),(AF53-AE53)*$B$14,0)</f>
      </c>
      <c r="AH53" s="4">
        <f>MAX(0,AB53*IF(AF53&gt;0,(AF53-AG53)/AF53,1))</f>
      </c>
      <c r="AI53" s="4">
        <f>MAX(0,AC53*IF(AF53&gt;0,(AF53-AG53)/AF53,1))</f>
      </c>
      <c r="AJ53" s="4">
        <f>MAX(0,AD53*IF(AF53&gt;0,(AF53-AG53)/AF53,1))</f>
      </c>
      <c r="AK53" s="4">
        <f>IF(AG53&gt;0,AF53-AG53,AE53)</f>
      </c>
      <c r="AL53" s="4">
        <f>AH53+AI53+AJ53</f>
      </c>
      <c r="AM53" s="5">
        <v>360557.621686716</v>
      </c>
      <c r="AN53" s="6">
        <f>AL53-AM53</f>
      </c>
    </row>
    <row r="54" spans="1:40" x14ac:dyDescent="0.25">
      <c r="A54">
        <v>2049</v>
      </c>
      <c r="B54">
        <v>78</v>
      </c>
      <c r="C54" s="14">
        <f>IF(B54&lt;$B$24,"A","E")</f>
      </c>
      <c r="D54" s="4">
        <f>AH53</f>
      </c>
      <c r="E54" s="4">
        <f>AI53</f>
      </c>
      <c r="F54" s="4">
        <f>AJ53</f>
      </c>
      <c r="G54" s="4">
        <f>AK53</f>
      </c>
      <c r="H54" s="15">
        <f>$B$8-$B$9</f>
      </c>
      <c r="I54" s="15">
        <f>$B$10-$B$11</f>
      </c>
      <c r="J54" s="15">
        <f>$B$12-$B$13</f>
      </c>
      <c r="K54" s="4">
        <f>D54*H54</f>
      </c>
      <c r="L54" s="4">
        <f>MAX(0,K54)*$B$15</f>
      </c>
      <c r="M54" s="4">
        <f>D54+K54-L54</f>
      </c>
      <c r="N54" s="4">
        <f>E54*(1+I54)</f>
      </c>
      <c r="O54" s="4">
        <f>F54*(1+J54)</f>
      </c>
      <c r="P54" s="4">
        <f>MAX(0,G54+K54-L54)</f>
      </c>
      <c r="Q54" s="16">
        <f>Q53*(1+$B$16)</f>
      </c>
      <c r="R54" s="4">
        <f>IF(C54="A",$B$17*12*IF($B$18=1,Q54,(1+$B$19)^23),0)</f>
      </c>
      <c r="S54" s="4">
        <f>IF(C54="A",0,$B$20*12*IF($B$23=1,Q54,1))</f>
      </c>
      <c r="T54" s="4">
        <f>IF(AND(NOT(C54="A"),B54&gt;=$B$22),$B$21*12*IF($B$23=1,Q54,1),0)</f>
      </c>
      <c r="U54" s="4">
        <f>MAX(0,S54-T54)</f>
      </c>
      <c r="V54" s="4">
        <f>IF(C54="A",M54+$B$5*R54,MAX(0,M54-U54))</f>
      </c>
      <c r="W54" s="15">
        <f>IF(OR(C54="A",M54&gt;=U54,N54+O54&lt;=0),0,MIN(1,(U54-M54)/(N54+O54)))</f>
      </c>
      <c r="X54" s="4">
        <f>IF(C54="A",N54+$B$6*R54,N54*(1-W54))</f>
      </c>
      <c r="Y54" s="4">
        <f>IF(C54="A",O54+$B$7*R54,O54*(1-W54))</f>
      </c>
      <c r="Z54" s="4">
        <f>IF(C54="A",P54+R54,MAX(0,P54-U54))</f>
      </c>
      <c r="AA54" s="4">
        <f>SUMIFS($B$27:$B$27,$A$27:$A$27,"&gt;"&amp;(B54-1),$A$27:$A$27,"&lt;="&amp;B54)</f>
      </c>
      <c r="AB54" s="4">
        <f>IF(AA54&gt;0,V54+$B$5*AA54,IF(AND(AA54&lt;0,(V54+X54+Y54)&gt;0),V54*(1-MIN(1,ABS(AA54)/(V54+X54+Y54))),V54))</f>
      </c>
      <c r="AC54" s="4">
        <f>IF(AA54&gt;0,X54+$B$6*AA54,IF(AND(AA54&lt;0,(V54+X54+Y54)&gt;0),X54*(1-MIN(1,ABS(AA54)/(V54+X54+Y54))),X54))</f>
      </c>
      <c r="AD54" s="4">
        <f>IF(AA54&gt;0,Y54+$B$7*AA54,IF(AND(AA54&lt;0,(V54+X54+Y54)&gt;0),Y54*(1-MIN(1,ABS(AA54)/(V54+X54+Y54))),Y54))</f>
      </c>
      <c r="AE54" s="4">
        <f>IF(AA54&gt;0,Z54+AA54,IF(AA54&lt;0,MAX(0,Z54+AA54),Z54))</f>
      </c>
      <c r="AF54" s="4">
        <f>AB54+AC54+AD54</f>
      </c>
      <c r="AG54" s="4">
        <f>IF(AND(AF54&gt;AE54,AF54&gt;0),(AF54-AE54)*$B$14,0)</f>
      </c>
      <c r="AH54" s="4">
        <f>MAX(0,AB54*IF(AF54&gt;0,(AF54-AG54)/AF54,1))</f>
      </c>
      <c r="AI54" s="4">
        <f>MAX(0,AC54*IF(AF54&gt;0,(AF54-AG54)/AF54,1))</f>
      </c>
      <c r="AJ54" s="4">
        <f>MAX(0,AD54*IF(AF54&gt;0,(AF54-AG54)/AF54,1))</f>
      </c>
      <c r="AK54" s="4">
        <f>IF(AG54&gt;0,AF54-AG54,AE54)</f>
      </c>
      <c r="AL54" s="4">
        <f>AH54+AI54+AJ54</f>
      </c>
      <c r="AM54" s="5">
        <v>353959.1115075578</v>
      </c>
      <c r="AN54" s="6">
        <f>AL54-AM54</f>
      </c>
    </row>
    <row r="55" spans="1:40" x14ac:dyDescent="0.25">
      <c r="A55">
        <v>2050</v>
      </c>
      <c r="B55">
        <v>79</v>
      </c>
      <c r="C55" s="14">
        <f>IF(B55&lt;$B$24,"A","E")</f>
      </c>
      <c r="D55" s="4">
        <f>AH54</f>
      </c>
      <c r="E55" s="4">
        <f>AI54</f>
      </c>
      <c r="F55" s="4">
        <f>AJ54</f>
      </c>
      <c r="G55" s="4">
        <f>AK54</f>
      </c>
      <c r="H55" s="15">
        <f>$B$8-$B$9</f>
      </c>
      <c r="I55" s="15">
        <f>$B$10-$B$11</f>
      </c>
      <c r="J55" s="15">
        <f>$B$12-$B$13</f>
      </c>
      <c r="K55" s="4">
        <f>D55*H55</f>
      </c>
      <c r="L55" s="4">
        <f>MAX(0,K55)*$B$15</f>
      </c>
      <c r="M55" s="4">
        <f>D55+K55-L55</f>
      </c>
      <c r="N55" s="4">
        <f>E55*(1+I55)</f>
      </c>
      <c r="O55" s="4">
        <f>F55*(1+J55)</f>
      </c>
      <c r="P55" s="4">
        <f>MAX(0,G55+K55-L55)</f>
      </c>
      <c r="Q55" s="16">
        <f>Q54*(1+$B$16)</f>
      </c>
      <c r="R55" s="4">
        <f>IF(C55="A",$B$17*12*IF($B$18=1,Q55,(1+$B$19)^24),0)</f>
      </c>
      <c r="S55" s="4">
        <f>IF(C55="A",0,$B$20*12*IF($B$23=1,Q55,1))</f>
      </c>
      <c r="T55" s="4">
        <f>IF(AND(NOT(C55="A"),B55&gt;=$B$22),$B$21*12*IF($B$23=1,Q55,1),0)</f>
      </c>
      <c r="U55" s="4">
        <f>MAX(0,S55-T55)</f>
      </c>
      <c r="V55" s="4">
        <f>IF(C55="A",M55+$B$5*R55,MAX(0,M55-U55))</f>
      </c>
      <c r="W55" s="15">
        <f>IF(OR(C55="A",M55&gt;=U55,N55+O55&lt;=0),0,MIN(1,(U55-M55)/(N55+O55)))</f>
      </c>
      <c r="X55" s="4">
        <f>IF(C55="A",N55+$B$6*R55,N55*(1-W55))</f>
      </c>
      <c r="Y55" s="4">
        <f>IF(C55="A",O55+$B$7*R55,O55*(1-W55))</f>
      </c>
      <c r="Z55" s="4">
        <f>IF(C55="A",P55+R55,MAX(0,P55-U55))</f>
      </c>
      <c r="AA55" s="4">
        <f>SUMIFS($B$27:$B$27,$A$27:$A$27,"&gt;"&amp;(B55-1),$A$27:$A$27,"&lt;="&amp;B55)</f>
      </c>
      <c r="AB55" s="4">
        <f>IF(AA55&gt;0,V55+$B$5*AA55,IF(AND(AA55&lt;0,(V55+X55+Y55)&gt;0),V55*(1-MIN(1,ABS(AA55)/(V55+X55+Y55))),V55))</f>
      </c>
      <c r="AC55" s="4">
        <f>IF(AA55&gt;0,X55+$B$6*AA55,IF(AND(AA55&lt;0,(V55+X55+Y55)&gt;0),X55*(1-MIN(1,ABS(AA55)/(V55+X55+Y55))),X55))</f>
      </c>
      <c r="AD55" s="4">
        <f>IF(AA55&gt;0,Y55+$B$7*AA55,IF(AND(AA55&lt;0,(V55+X55+Y55)&gt;0),Y55*(1-MIN(1,ABS(AA55)/(V55+X55+Y55))),Y55))</f>
      </c>
      <c r="AE55" s="4">
        <f>IF(AA55&gt;0,Z55+AA55,IF(AA55&lt;0,MAX(0,Z55+AA55),Z55))</f>
      </c>
      <c r="AF55" s="4">
        <f>AB55+AC55+AD55</f>
      </c>
      <c r="AG55" s="4">
        <f>IF(AND(AF55&gt;AE55,AF55&gt;0),(AF55-AE55)*$B$14,0)</f>
      </c>
      <c r="AH55" s="4">
        <f>MAX(0,AB55*IF(AF55&gt;0,(AF55-AG55)/AF55,1))</f>
      </c>
      <c r="AI55" s="4">
        <f>MAX(0,AC55*IF(AF55&gt;0,(AF55-AG55)/AF55,1))</f>
      </c>
      <c r="AJ55" s="4">
        <f>MAX(0,AD55*IF(AF55&gt;0,(AF55-AG55)/AF55,1))</f>
      </c>
      <c r="AK55" s="4">
        <f>IF(AG55&gt;0,AF55-AG55,AE55)</f>
      </c>
      <c r="AL55" s="4">
        <f>AH55+AI55+AJ55</f>
      </c>
      <c r="AM55" s="5">
        <v>347192.85831432755</v>
      </c>
      <c r="AN55" s="6">
        <f>AL55-AM55</f>
      </c>
    </row>
    <row r="56" spans="1:40" x14ac:dyDescent="0.25">
      <c r="A56">
        <v>2051</v>
      </c>
      <c r="B56">
        <v>80</v>
      </c>
      <c r="C56" s="14">
        <f>IF(B56&lt;$B$24,"A","E")</f>
      </c>
      <c r="D56" s="4">
        <f>AH55</f>
      </c>
      <c r="E56" s="4">
        <f>AI55</f>
      </c>
      <c r="F56" s="4">
        <f>AJ55</f>
      </c>
      <c r="G56" s="4">
        <f>AK55</f>
      </c>
      <c r="H56" s="15">
        <f>$B$8-$B$9</f>
      </c>
      <c r="I56" s="15">
        <f>$B$10-$B$11</f>
      </c>
      <c r="J56" s="15">
        <f>$B$12-$B$13</f>
      </c>
      <c r="K56" s="4">
        <f>D56*H56</f>
      </c>
      <c r="L56" s="4">
        <f>MAX(0,K56)*$B$15</f>
      </c>
      <c r="M56" s="4">
        <f>D56+K56-L56</f>
      </c>
      <c r="N56" s="4">
        <f>E56*(1+I56)</f>
      </c>
      <c r="O56" s="4">
        <f>F56*(1+J56)</f>
      </c>
      <c r="P56" s="4">
        <f>MAX(0,G56+K56-L56)</f>
      </c>
      <c r="Q56" s="16">
        <f>Q55*(1+$B$16)</f>
      </c>
      <c r="R56" s="4">
        <f>IF(C56="A",$B$17*12*IF($B$18=1,Q56,(1+$B$19)^25),0)</f>
      </c>
      <c r="S56" s="4">
        <f>IF(C56="A",0,$B$20*12*IF($B$23=1,Q56,1))</f>
      </c>
      <c r="T56" s="4">
        <f>IF(AND(NOT(C56="A"),B56&gt;=$B$22),$B$21*12*IF($B$23=1,Q56,1),0)</f>
      </c>
      <c r="U56" s="4">
        <f>MAX(0,S56-T56)</f>
      </c>
      <c r="V56" s="4">
        <f>IF(C56="A",M56+$B$5*R56,MAX(0,M56-U56))</f>
      </c>
      <c r="W56" s="15">
        <f>IF(OR(C56="A",M56&gt;=U56,N56+O56&lt;=0),0,MIN(1,(U56-M56)/(N56+O56)))</f>
      </c>
      <c r="X56" s="4">
        <f>IF(C56="A",N56+$B$6*R56,N56*(1-W56))</f>
      </c>
      <c r="Y56" s="4">
        <f>IF(C56="A",O56+$B$7*R56,O56*(1-W56))</f>
      </c>
      <c r="Z56" s="4">
        <f>IF(C56="A",P56+R56,MAX(0,P56-U56))</f>
      </c>
      <c r="AA56" s="4">
        <f>SUMIFS($B$27:$B$27,$A$27:$A$27,"&gt;"&amp;(B56-1),$A$27:$A$27,"&lt;="&amp;B56)</f>
      </c>
      <c r="AB56" s="4">
        <f>IF(AA56&gt;0,V56+$B$5*AA56,IF(AND(AA56&lt;0,(V56+X56+Y56)&gt;0),V56*(1-MIN(1,ABS(AA56)/(V56+X56+Y56))),V56))</f>
      </c>
      <c r="AC56" s="4">
        <f>IF(AA56&gt;0,X56+$B$6*AA56,IF(AND(AA56&lt;0,(V56+X56+Y56)&gt;0),X56*(1-MIN(1,ABS(AA56)/(V56+X56+Y56))),X56))</f>
      </c>
      <c r="AD56" s="4">
        <f>IF(AA56&gt;0,Y56+$B$7*AA56,IF(AND(AA56&lt;0,(V56+X56+Y56)&gt;0),Y56*(1-MIN(1,ABS(AA56)/(V56+X56+Y56))),Y56))</f>
      </c>
      <c r="AE56" s="4">
        <f>IF(AA56&gt;0,Z56+AA56,IF(AA56&lt;0,MAX(0,Z56+AA56),Z56))</f>
      </c>
      <c r="AF56" s="4">
        <f>AB56+AC56+AD56</f>
      </c>
      <c r="AG56" s="4">
        <f>IF(AND(AF56&gt;AE56,AF56&gt;0),(AF56-AE56)*$B$14,0)</f>
      </c>
      <c r="AH56" s="4">
        <f>MAX(0,AB56*IF(AF56&gt;0,(AF56-AG56)/AF56,1))</f>
      </c>
      <c r="AI56" s="4">
        <f>MAX(0,AC56*IF(AF56&gt;0,(AF56-AG56)/AF56,1))</f>
      </c>
      <c r="AJ56" s="4">
        <f>MAX(0,AD56*IF(AF56&gt;0,(AF56-AG56)/AF56,1))</f>
      </c>
      <c r="AK56" s="4">
        <f>IF(AG56&gt;0,AF56-AG56,AE56)</f>
      </c>
      <c r="AL56" s="4">
        <f>AH56+AI56+AJ56</f>
      </c>
      <c r="AM56" s="5">
        <v>340251.85700276913</v>
      </c>
      <c r="AN56" s="6">
        <f>AL56-AM56</f>
      </c>
    </row>
    <row r="57" spans="1:40" x14ac:dyDescent="0.25">
      <c r="A57">
        <v>2052</v>
      </c>
      <c r="B57">
        <v>81</v>
      </c>
      <c r="C57" s="14">
        <f>IF(B57&lt;$B$24,"A","E")</f>
      </c>
      <c r="D57" s="4">
        <f>AH56</f>
      </c>
      <c r="E57" s="4">
        <f>AI56</f>
      </c>
      <c r="F57" s="4">
        <f>AJ56</f>
      </c>
      <c r="G57" s="4">
        <f>AK56</f>
      </c>
      <c r="H57" s="15">
        <f>$B$8-$B$9</f>
      </c>
      <c r="I57" s="15">
        <f>$B$10-$B$11</f>
      </c>
      <c r="J57" s="15">
        <f>$B$12-$B$13</f>
      </c>
      <c r="K57" s="4">
        <f>D57*H57</f>
      </c>
      <c r="L57" s="4">
        <f>MAX(0,K57)*$B$15</f>
      </c>
      <c r="M57" s="4">
        <f>D57+K57-L57</f>
      </c>
      <c r="N57" s="4">
        <f>E57*(1+I57)</f>
      </c>
      <c r="O57" s="4">
        <f>F57*(1+J57)</f>
      </c>
      <c r="P57" s="4">
        <f>MAX(0,G57+K57-L57)</f>
      </c>
      <c r="Q57" s="16">
        <f>Q56*(1+$B$16)</f>
      </c>
      <c r="R57" s="4">
        <f>IF(C57="A",$B$17*12*IF($B$18=1,Q57,(1+$B$19)^26),0)</f>
      </c>
      <c r="S57" s="4">
        <f>IF(C57="A",0,$B$20*12*IF($B$23=1,Q57,1))</f>
      </c>
      <c r="T57" s="4">
        <f>IF(AND(NOT(C57="A"),B57&gt;=$B$22),$B$21*12*IF($B$23=1,Q57,1),0)</f>
      </c>
      <c r="U57" s="4">
        <f>MAX(0,S57-T57)</f>
      </c>
      <c r="V57" s="4">
        <f>IF(C57="A",M57+$B$5*R57,MAX(0,M57-U57))</f>
      </c>
      <c r="W57" s="15">
        <f>IF(OR(C57="A",M57&gt;=U57,N57+O57&lt;=0),0,MIN(1,(U57-M57)/(N57+O57)))</f>
      </c>
      <c r="X57" s="4">
        <f>IF(C57="A",N57+$B$6*R57,N57*(1-W57))</f>
      </c>
      <c r="Y57" s="4">
        <f>IF(C57="A",O57+$B$7*R57,O57*(1-W57))</f>
      </c>
      <c r="Z57" s="4">
        <f>IF(C57="A",P57+R57,MAX(0,P57-U57))</f>
      </c>
      <c r="AA57" s="4">
        <f>SUMIFS($B$27:$B$27,$A$27:$A$27,"&gt;"&amp;(B57-1),$A$27:$A$27,"&lt;="&amp;B57)</f>
      </c>
      <c r="AB57" s="4">
        <f>IF(AA57&gt;0,V57+$B$5*AA57,IF(AND(AA57&lt;0,(V57+X57+Y57)&gt;0),V57*(1-MIN(1,ABS(AA57)/(V57+X57+Y57))),V57))</f>
      </c>
      <c r="AC57" s="4">
        <f>IF(AA57&gt;0,X57+$B$6*AA57,IF(AND(AA57&lt;0,(V57+X57+Y57)&gt;0),X57*(1-MIN(1,ABS(AA57)/(V57+X57+Y57))),X57))</f>
      </c>
      <c r="AD57" s="4">
        <f>IF(AA57&gt;0,Y57+$B$7*AA57,IF(AND(AA57&lt;0,(V57+X57+Y57)&gt;0),Y57*(1-MIN(1,ABS(AA57)/(V57+X57+Y57))),Y57))</f>
      </c>
      <c r="AE57" s="4">
        <f>IF(AA57&gt;0,Z57+AA57,IF(AA57&lt;0,MAX(0,Z57+AA57),Z57))</f>
      </c>
      <c r="AF57" s="4">
        <f>AB57+AC57+AD57</f>
      </c>
      <c r="AG57" s="4">
        <f>IF(AND(AF57&gt;AE57,AF57&gt;0),(AF57-AE57)*$B$14,0)</f>
      </c>
      <c r="AH57" s="4">
        <f>MAX(0,AB57*IF(AF57&gt;0,(AF57-AG57)/AF57,1))</f>
      </c>
      <c r="AI57" s="4">
        <f>MAX(0,AC57*IF(AF57&gt;0,(AF57-AG57)/AF57,1))</f>
      </c>
      <c r="AJ57" s="4">
        <f>MAX(0,AD57*IF(AF57&gt;0,(AF57-AG57)/AF57,1))</f>
      </c>
      <c r="AK57" s="4">
        <f>IF(AG57&gt;0,AF57-AG57,AE57)</f>
      </c>
      <c r="AL57" s="4">
        <f>AH57+AI57+AJ57</f>
      </c>
      <c r="AM57" s="5">
        <v>333128.8170911341</v>
      </c>
      <c r="AN57" s="6">
        <f>AL57-AM57</f>
      </c>
    </row>
    <row r="58" spans="1:40" x14ac:dyDescent="0.25">
      <c r="A58">
        <v>2053</v>
      </c>
      <c r="B58">
        <v>82</v>
      </c>
      <c r="C58" s="14">
        <f>IF(B58&lt;$B$24,"A","E")</f>
      </c>
      <c r="D58" s="4">
        <f>AH57</f>
      </c>
      <c r="E58" s="4">
        <f>AI57</f>
      </c>
      <c r="F58" s="4">
        <f>AJ57</f>
      </c>
      <c r="G58" s="4">
        <f>AK57</f>
      </c>
      <c r="H58" s="15">
        <f>$B$8-$B$9</f>
      </c>
      <c r="I58" s="15">
        <f>$B$10-$B$11</f>
      </c>
      <c r="J58" s="15">
        <f>$B$12-$B$13</f>
      </c>
      <c r="K58" s="4">
        <f>D58*H58</f>
      </c>
      <c r="L58" s="4">
        <f>MAX(0,K58)*$B$15</f>
      </c>
      <c r="M58" s="4">
        <f>D58+K58-L58</f>
      </c>
      <c r="N58" s="4">
        <f>E58*(1+I58)</f>
      </c>
      <c r="O58" s="4">
        <f>F58*(1+J58)</f>
      </c>
      <c r="P58" s="4">
        <f>MAX(0,G58+K58-L58)</f>
      </c>
      <c r="Q58" s="16">
        <f>Q57*(1+$B$16)</f>
      </c>
      <c r="R58" s="4">
        <f>IF(C58="A",$B$17*12*IF($B$18=1,Q58,(1+$B$19)^27),0)</f>
      </c>
      <c r="S58" s="4">
        <f>IF(C58="A",0,$B$20*12*IF($B$23=1,Q58,1))</f>
      </c>
      <c r="T58" s="4">
        <f>IF(AND(NOT(C58="A"),B58&gt;=$B$22),$B$21*12*IF($B$23=1,Q58,1),0)</f>
      </c>
      <c r="U58" s="4">
        <f>MAX(0,S58-T58)</f>
      </c>
      <c r="V58" s="4">
        <f>IF(C58="A",M58+$B$5*R58,MAX(0,M58-U58))</f>
      </c>
      <c r="W58" s="15">
        <f>IF(OR(C58="A",M58&gt;=U58,N58+O58&lt;=0),0,MIN(1,(U58-M58)/(N58+O58)))</f>
      </c>
      <c r="X58" s="4">
        <f>IF(C58="A",N58+$B$6*R58,N58*(1-W58))</f>
      </c>
      <c r="Y58" s="4">
        <f>IF(C58="A",O58+$B$7*R58,O58*(1-W58))</f>
      </c>
      <c r="Z58" s="4">
        <f>IF(C58="A",P58+R58,MAX(0,P58-U58))</f>
      </c>
      <c r="AA58" s="4">
        <f>SUMIFS($B$27:$B$27,$A$27:$A$27,"&gt;"&amp;(B58-1),$A$27:$A$27,"&lt;="&amp;B58)</f>
      </c>
      <c r="AB58" s="4">
        <f>IF(AA58&gt;0,V58+$B$5*AA58,IF(AND(AA58&lt;0,(V58+X58+Y58)&gt;0),V58*(1-MIN(1,ABS(AA58)/(V58+X58+Y58))),V58))</f>
      </c>
      <c r="AC58" s="4">
        <f>IF(AA58&gt;0,X58+$B$6*AA58,IF(AND(AA58&lt;0,(V58+X58+Y58)&gt;0),X58*(1-MIN(1,ABS(AA58)/(V58+X58+Y58))),X58))</f>
      </c>
      <c r="AD58" s="4">
        <f>IF(AA58&gt;0,Y58+$B$7*AA58,IF(AND(AA58&lt;0,(V58+X58+Y58)&gt;0),Y58*(1-MIN(1,ABS(AA58)/(V58+X58+Y58))),Y58))</f>
      </c>
      <c r="AE58" s="4">
        <f>IF(AA58&gt;0,Z58+AA58,IF(AA58&lt;0,MAX(0,Z58+AA58),Z58))</f>
      </c>
      <c r="AF58" s="4">
        <f>AB58+AC58+AD58</f>
      </c>
      <c r="AG58" s="4">
        <f>IF(AND(AF58&gt;AE58,AF58&gt;0),(AF58-AE58)*$B$14,0)</f>
      </c>
      <c r="AH58" s="4">
        <f>MAX(0,AB58*IF(AF58&gt;0,(AF58-AG58)/AF58,1))</f>
      </c>
      <c r="AI58" s="4">
        <f>MAX(0,AC58*IF(AF58&gt;0,(AF58-AG58)/AF58,1))</f>
      </c>
      <c r="AJ58" s="4">
        <f>MAX(0,AD58*IF(AF58&gt;0,(AF58-AG58)/AF58,1))</f>
      </c>
      <c r="AK58" s="4">
        <f>IF(AG58&gt;0,AF58-AG58,AE58)</f>
      </c>
      <c r="AL58" s="4">
        <f>AH58+AI58+AJ58</f>
      </c>
      <c r="AM58" s="5">
        <v>325816.1518852734</v>
      </c>
      <c r="AN58" s="6">
        <f>AL58-AM58</f>
      </c>
    </row>
    <row r="59" spans="1:40" x14ac:dyDescent="0.25">
      <c r="A59">
        <v>2054</v>
      </c>
      <c r="B59">
        <v>83</v>
      </c>
      <c r="C59" s="14">
        <f>IF(B59&lt;$B$24,"A","E")</f>
      </c>
      <c r="D59" s="4">
        <f>AH58</f>
      </c>
      <c r="E59" s="4">
        <f>AI58</f>
      </c>
      <c r="F59" s="4">
        <f>AJ58</f>
      </c>
      <c r="G59" s="4">
        <f>AK58</f>
      </c>
      <c r="H59" s="15">
        <f>$B$8-$B$9</f>
      </c>
      <c r="I59" s="15">
        <f>$B$10-$B$11</f>
      </c>
      <c r="J59" s="15">
        <f>$B$12-$B$13</f>
      </c>
      <c r="K59" s="4">
        <f>D59*H59</f>
      </c>
      <c r="L59" s="4">
        <f>MAX(0,K59)*$B$15</f>
      </c>
      <c r="M59" s="4">
        <f>D59+K59-L59</f>
      </c>
      <c r="N59" s="4">
        <f>E59*(1+I59)</f>
      </c>
      <c r="O59" s="4">
        <f>F59*(1+J59)</f>
      </c>
      <c r="P59" s="4">
        <f>MAX(0,G59+K59-L59)</f>
      </c>
      <c r="Q59" s="16">
        <f>Q58*(1+$B$16)</f>
      </c>
      <c r="R59" s="4">
        <f>IF(C59="A",$B$17*12*IF($B$18=1,Q59,(1+$B$19)^28),0)</f>
      </c>
      <c r="S59" s="4">
        <f>IF(C59="A",0,$B$20*12*IF($B$23=1,Q59,1))</f>
      </c>
      <c r="T59" s="4">
        <f>IF(AND(NOT(C59="A"),B59&gt;=$B$22),$B$21*12*IF($B$23=1,Q59,1),0)</f>
      </c>
      <c r="U59" s="4">
        <f>MAX(0,S59-T59)</f>
      </c>
      <c r="V59" s="4">
        <f>IF(C59="A",M59+$B$5*R59,MAX(0,M59-U59))</f>
      </c>
      <c r="W59" s="15">
        <f>IF(OR(C59="A",M59&gt;=U59,N59+O59&lt;=0),0,MIN(1,(U59-M59)/(N59+O59)))</f>
      </c>
      <c r="X59" s="4">
        <f>IF(C59="A",N59+$B$6*R59,N59*(1-W59))</f>
      </c>
      <c r="Y59" s="4">
        <f>IF(C59="A",O59+$B$7*R59,O59*(1-W59))</f>
      </c>
      <c r="Z59" s="4">
        <f>IF(C59="A",P59+R59,MAX(0,P59-U59))</f>
      </c>
      <c r="AA59" s="4">
        <f>SUMIFS($B$27:$B$27,$A$27:$A$27,"&gt;"&amp;(B59-1),$A$27:$A$27,"&lt;="&amp;B59)</f>
      </c>
      <c r="AB59" s="4">
        <f>IF(AA59&gt;0,V59+$B$5*AA59,IF(AND(AA59&lt;0,(V59+X59+Y59)&gt;0),V59*(1-MIN(1,ABS(AA59)/(V59+X59+Y59))),V59))</f>
      </c>
      <c r="AC59" s="4">
        <f>IF(AA59&gt;0,X59+$B$6*AA59,IF(AND(AA59&lt;0,(V59+X59+Y59)&gt;0),X59*(1-MIN(1,ABS(AA59)/(V59+X59+Y59))),X59))</f>
      </c>
      <c r="AD59" s="4">
        <f>IF(AA59&gt;0,Y59+$B$7*AA59,IF(AND(AA59&lt;0,(V59+X59+Y59)&gt;0),Y59*(1-MIN(1,ABS(AA59)/(V59+X59+Y59))),Y59))</f>
      </c>
      <c r="AE59" s="4">
        <f>IF(AA59&gt;0,Z59+AA59,IF(AA59&lt;0,MAX(0,Z59+AA59),Z59))</f>
      </c>
      <c r="AF59" s="4">
        <f>AB59+AC59+AD59</f>
      </c>
      <c r="AG59" s="4">
        <f>IF(AND(AF59&gt;AE59,AF59&gt;0),(AF59-AE59)*$B$14,0)</f>
      </c>
      <c r="AH59" s="4">
        <f>MAX(0,AB59*IF(AF59&gt;0,(AF59-AG59)/AF59,1))</f>
      </c>
      <c r="AI59" s="4">
        <f>MAX(0,AC59*IF(AF59&gt;0,(AF59-AG59)/AF59,1))</f>
      </c>
      <c r="AJ59" s="4">
        <f>MAX(0,AD59*IF(AF59&gt;0,(AF59-AG59)/AF59,1))</f>
      </c>
      <c r="AK59" s="4">
        <f>IF(AG59&gt;0,AF59-AG59,AE59)</f>
      </c>
      <c r="AL59" s="4">
        <f>AH59+AI59+AJ59</f>
      </c>
      <c r="AM59" s="5">
        <v>318305.9672167547</v>
      </c>
      <c r="AN59" s="6">
        <f>AL59-AM59</f>
      </c>
    </row>
    <row r="60" spans="1:40" x14ac:dyDescent="0.25">
      <c r="A60">
        <v>2055</v>
      </c>
      <c r="B60">
        <v>84</v>
      </c>
      <c r="C60" s="14">
        <f>IF(B60&lt;$B$24,"A","E")</f>
      </c>
      <c r="D60" s="4">
        <f>AH59</f>
      </c>
      <c r="E60" s="4">
        <f>AI59</f>
      </c>
      <c r="F60" s="4">
        <f>AJ59</f>
      </c>
      <c r="G60" s="4">
        <f>AK59</f>
      </c>
      <c r="H60" s="15">
        <f>$B$8-$B$9</f>
      </c>
      <c r="I60" s="15">
        <f>$B$10-$B$11</f>
      </c>
      <c r="J60" s="15">
        <f>$B$12-$B$13</f>
      </c>
      <c r="K60" s="4">
        <f>D60*H60</f>
      </c>
      <c r="L60" s="4">
        <f>MAX(0,K60)*$B$15</f>
      </c>
      <c r="M60" s="4">
        <f>D60+K60-L60</f>
      </c>
      <c r="N60" s="4">
        <f>E60*(1+I60)</f>
      </c>
      <c r="O60" s="4">
        <f>F60*(1+J60)</f>
      </c>
      <c r="P60" s="4">
        <f>MAX(0,G60+K60-L60)</f>
      </c>
      <c r="Q60" s="16">
        <f>Q59*(1+$B$16)</f>
      </c>
      <c r="R60" s="4">
        <f>IF(C60="A",$B$17*12*IF($B$18=1,Q60,(1+$B$19)^29),0)</f>
      </c>
      <c r="S60" s="4">
        <f>IF(C60="A",0,$B$20*12*IF($B$23=1,Q60,1))</f>
      </c>
      <c r="T60" s="4">
        <f>IF(AND(NOT(C60="A"),B60&gt;=$B$22),$B$21*12*IF($B$23=1,Q60,1),0)</f>
      </c>
      <c r="U60" s="4">
        <f>MAX(0,S60-T60)</f>
      </c>
      <c r="V60" s="4">
        <f>IF(C60="A",M60+$B$5*R60,MAX(0,M60-U60))</f>
      </c>
      <c r="W60" s="15">
        <f>IF(OR(C60="A",M60&gt;=U60,N60+O60&lt;=0),0,MIN(1,(U60-M60)/(N60+O60)))</f>
      </c>
      <c r="X60" s="4">
        <f>IF(C60="A",N60+$B$6*R60,N60*(1-W60))</f>
      </c>
      <c r="Y60" s="4">
        <f>IF(C60="A",O60+$B$7*R60,O60*(1-W60))</f>
      </c>
      <c r="Z60" s="4">
        <f>IF(C60="A",P60+R60,MAX(0,P60-U60))</f>
      </c>
      <c r="AA60" s="4">
        <f>SUMIFS($B$27:$B$27,$A$27:$A$27,"&gt;"&amp;(B60-1),$A$27:$A$27,"&lt;="&amp;B60)</f>
      </c>
      <c r="AB60" s="4">
        <f>IF(AA60&gt;0,V60+$B$5*AA60,IF(AND(AA60&lt;0,(V60+X60+Y60)&gt;0),V60*(1-MIN(1,ABS(AA60)/(V60+X60+Y60))),V60))</f>
      </c>
      <c r="AC60" s="4">
        <f>IF(AA60&gt;0,X60+$B$6*AA60,IF(AND(AA60&lt;0,(V60+X60+Y60)&gt;0),X60*(1-MIN(1,ABS(AA60)/(V60+X60+Y60))),X60))</f>
      </c>
      <c r="AD60" s="4">
        <f>IF(AA60&gt;0,Y60+$B$7*AA60,IF(AND(AA60&lt;0,(V60+X60+Y60)&gt;0),Y60*(1-MIN(1,ABS(AA60)/(V60+X60+Y60))),Y60))</f>
      </c>
      <c r="AE60" s="4">
        <f>IF(AA60&gt;0,Z60+AA60,IF(AA60&lt;0,MAX(0,Z60+AA60),Z60))</f>
      </c>
      <c r="AF60" s="4">
        <f>AB60+AC60+AD60</f>
      </c>
      <c r="AG60" s="4">
        <f>IF(AND(AF60&gt;AE60,AF60&gt;0),(AF60-AE60)*$B$14,0)</f>
      </c>
      <c r="AH60" s="4">
        <f>MAX(0,AB60*IF(AF60&gt;0,(AF60-AG60)/AF60,1))</f>
      </c>
      <c r="AI60" s="4">
        <f>MAX(0,AC60*IF(AF60&gt;0,(AF60-AG60)/AF60,1))</f>
      </c>
      <c r="AJ60" s="4">
        <f>MAX(0,AD60*IF(AF60&gt;0,(AF60-AG60)/AF60,1))</f>
      </c>
      <c r="AK60" s="4">
        <f>IF(AG60&gt;0,AF60-AG60,AE60)</f>
      </c>
      <c r="AL60" s="4">
        <f>AH60+AI60+AJ60</f>
      </c>
      <c r="AM60" s="5">
        <v>310590.049736207</v>
      </c>
      <c r="AN60" s="6">
        <f>AL60-AM60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Übersicht</vt:lpstr>
      <vt:lpstr>Fall 1</vt:lpstr>
      <vt:lpstr>Fall 2</vt:lpstr>
      <vt:lpstr>Fall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Ruhestandsplaner Pro</dc:creator>
  <dc:title/>
  <dc:subject/>
  <dc:description/>
  <cp:keywords/>
  <cp:category/>
  <cp:lastModifiedBy>Unknown</cp:lastModifiedBy>
  <dcterms:created xsi:type="dcterms:W3CDTF">2026-10-12T13:57:52Z</dcterms:created>
  <dcterms:modified xsi:type="dcterms:W3CDTF">2026-10-12T13:57:52Z</dcterms:modified>
</cp:coreProperties>
</file>